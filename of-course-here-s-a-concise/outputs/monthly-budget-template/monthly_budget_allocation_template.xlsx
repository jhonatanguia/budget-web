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62d6dd280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a88749c7f874e61"/>
    <x:sheet xmlns:r="http://schemas.openxmlformats.org/officeDocument/2006/relationships" name="Annual Overview" sheetId="2" r:id="R14401855540f41fb"/>
    <x:sheet xmlns:r="http://schemas.openxmlformats.org/officeDocument/2006/relationships" name="January" sheetId="3" r:id="R7a24ad102df34f8d"/>
    <x:sheet xmlns:r="http://schemas.openxmlformats.org/officeDocument/2006/relationships" name="February" sheetId="4" r:id="R62e612eb3b8746d8"/>
    <x:sheet xmlns:r="http://schemas.openxmlformats.org/officeDocument/2006/relationships" name="March" sheetId="5" r:id="R9f576d8a36e44826"/>
    <x:sheet xmlns:r="http://schemas.openxmlformats.org/officeDocument/2006/relationships" name="April" sheetId="6" r:id="R191a9c6342f24e0d"/>
    <x:sheet xmlns:r="http://schemas.openxmlformats.org/officeDocument/2006/relationships" name="May" sheetId="7" r:id="R8726276c74cd466b"/>
    <x:sheet xmlns:r="http://schemas.openxmlformats.org/officeDocument/2006/relationships" name="June" sheetId="8" r:id="Rfa82d02d86194de2"/>
    <x:sheet xmlns:r="http://schemas.openxmlformats.org/officeDocument/2006/relationships" name="July" sheetId="9" r:id="R184c10e8f87840f1"/>
    <x:sheet xmlns:r="http://schemas.openxmlformats.org/officeDocument/2006/relationships" name="August" sheetId="10" r:id="R50052d340c264a47"/>
    <x:sheet xmlns:r="http://schemas.openxmlformats.org/officeDocument/2006/relationships" name="September" sheetId="11" r:id="R74aa6cfd95cf4d7b"/>
    <x:sheet xmlns:r="http://schemas.openxmlformats.org/officeDocument/2006/relationships" name="October" sheetId="12" r:id="R1070370506144afd"/>
    <x:sheet xmlns:r="http://schemas.openxmlformats.org/officeDocument/2006/relationships" name="November" sheetId="13" r:id="Re64890ed136c42d2"/>
    <x:sheet xmlns:r="http://schemas.openxmlformats.org/officeDocument/2006/relationships" name="December" sheetId="14" r:id="R3d3f50cadb10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;[Red]($#,##0);-"/>
  </x:numFmts>
  <x:fonts count="11">
    <x:font>
      <x:sz val="11"/>
      <x:name val="Carlito"/>
    </x:font>
    <x:font>
      <x:b/>
      <x:sz val="18"/>
      <x:color rgb="FFFFFF"/>
      <x:name val="Aptos Display"/>
    </x:font>
    <x:font>
      <x:b/>
      <x:sz val="11"/>
      <x:color rgb="16323A"/>
      <x:name val="Aptos"/>
    </x:font>
    <x:font>
      <x:b/>
      <x:sz val="12"/>
      <x:color rgb="FFFFFF"/>
      <x:name val="Aptos"/>
    </x:font>
    <x:font>
      <x:sz val="10"/>
      <x:color rgb="16323A"/>
      <x:name val="Aptos"/>
    </x:font>
    <x:font>
      <x:b/>
      <x:sz val="11"/>
      <x:color rgb="FFFFFF"/>
      <x:name val="Aptos"/>
    </x:font>
    <x:font>
      <x:b/>
      <x:sz val="10"/>
      <x:color rgb="16323A"/>
      <x:name val="Aptos"/>
    </x:font>
    <x:font>
      <x:sz val="10"/>
      <x:color rgb="0000FF"/>
      <x:name val="Aptos"/>
    </x:font>
    <x:font>
      <x:sz val="10"/>
      <x:color rgb="008000"/>
      <x:name val="Aptos"/>
    </x:font>
    <x:font>
      <x:b/>
      <x:sz val="10"/>
      <x:color rgb="0000FF"/>
      <x:name val="Aptos"/>
    </x:font>
    <x:font>
      <x:b/>
      <x:sz val="10"/>
      <x:color rgb="0F4F4A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EEF6FF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0F4F4A"/>
      </x:patternFill>
    </x:fill>
    <x:fill>
      <x:patternFill patternType="solid">
        <x:fgColor rgb="F9735B"/>
      </x:patternFill>
    </x:fill>
    <x:fill>
      <x:patternFill patternType="solid">
        <x:fgColor rgb="FBFCFB"/>
      </x:patternFill>
    </x:fill>
    <x:fill>
      <x:patternFill patternType="solid">
        <x:fgColor rgb="EEF2FF"/>
      </x:patternFill>
    </x:fill>
    <x:fill>
      <x:patternFill patternType="solid">
        <x:fgColor rgb="D8F3EF"/>
      </x:patternFill>
    </x:fill>
    <x:fill>
      <x:patternFill patternType="solid">
        <x:fgColor rgb="FFF3C4"/>
      </x:patternFill>
    </x:fill>
    <x:fill>
      <x:patternFill patternType="solid">
        <x:fgColor rgb="EDF9F7"/>
      </x:patternFill>
    </x:fill>
  </x:fills>
  <x:borders count="3">
    <x:border/>
    <x:border>
      <x:left style="thin">
        <x:color rgb="CBD5D1"/>
      </x:left>
      <x:right style="thin">
        <x:color rgb="CBD5D1"/>
      </x:right>
      <x:top style="thin">
        <x:color rgb="CBD5D1"/>
      </x:top>
      <x:bottom style="thin">
        <x:color rgb="CBD5D1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/>
    </x:xf>
    <x:xf numFmtId="0" fontId="3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4" fillId="9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1" xfId="0" applyNumberFormat="1" applyFont="1" applyFill="1" applyBorder="1"/>
    <x:xf numFmtId="0" fontId="6" fillId="10" borderId="1" xfId="0" applyNumberFormat="1" applyFont="1" applyFill="1" applyBorder="1" applyAlignment="1">
      <x:alignment wrapText="1"/>
    </x:xf>
    <x:xf numFmtId="0" fontId="6" fillId="10" borderId="1" xfId="0" applyNumberFormat="1" applyFont="1" applyFill="1" applyBorder="1" applyAlignment="1">
      <x:alignment horizont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1" xfId="0" applyNumberFormat="1" applyFont="1" applyFill="1" applyBorder="1"/>
    <x:xf numFmtId="0" fontId="2" fillId="11" borderId="1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horizont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4" fillId="8" borderId="2" xfId="0" applyNumberFormat="1" applyFont="1" applyFill="1" applyBorder="1"/>
    <x:xf numFmtId="0" fontId="4" fillId="8" borderId="2" xfId="0" applyNumberFormat="1" applyFont="1" applyFill="1" applyBorder="1" applyAlignment="1">
      <x:alignment vertical="center"/>
    </x:xf>
    <x:xf numFmtId="0" fontId="4" fillId="11" borderId="2" xfId="0" applyNumberFormat="1" applyFont="1" applyFill="1" applyBorder="1" applyAlignment="1">
      <x:alignment vertical="center"/>
    </x:xf>
    <x:xf numFmtId="0" fontId="7" fillId="11" borderId="2" xfId="0" applyNumberFormat="1" applyFont="1" applyFill="1" applyBorder="1" applyAlignment="1">
      <x:alignment vertical="center"/>
    </x:xf>
    <x:xf numFmtId="0" fontId="7" fillId="11" borderId="1" xfId="0" applyNumberFormat="1" applyFont="1" applyFill="1" applyBorder="1" applyAlignment="1">
      <x:alignment vertical="center"/>
    </x:xf>
    <x:xf numFmtId="0" fontId="7" fillId="11" borderId="1" xfId="0" applyNumberFormat="1" applyFont="1" applyFill="1" applyBorder="1" applyAlignment="1">
      <x:alignment horizontal="right" vertical="center"/>
    </x:xf>
    <x:xf numFmtId="0" fontId="4" fillId="12" borderId="2" xfId="0" applyNumberFormat="1" applyFont="1" applyFill="1" applyBorder="1" applyAlignment="1">
      <x:alignment vertical="center"/>
    </x:xf>
    <x:xf numFmtId="0" fontId="6" fillId="12" borderId="2" xfId="0" applyNumberFormat="1" applyFont="1" applyFill="1" applyBorder="1" applyAlignment="1">
      <x:alignment vertical="center"/>
    </x:xf>
    <x:xf numFmtId="0" fontId="6" fillId="12" borderId="1" xfId="0" applyNumberFormat="1" applyFont="1" applyFill="1" applyBorder="1" applyAlignment="1">
      <x:alignment vertical="center"/>
    </x:xf>
    <x:xf numFmtId="0" fontId="6" fillId="12" borderId="1" xfId="0" applyNumberFormat="1" applyFont="1" applyFill="1" applyBorder="1" applyAlignment="1">
      <x:alignment horizontal="right" vertical="center"/>
    </x:xf>
    <x:xf numFmtId="200" fontId="7" fillId="11" borderId="1" xfId="0" applyNumberFormat="1" applyFont="1" applyFill="1" applyBorder="1" applyAlignment="1">
      <x:alignment horizontal="right" vertical="center"/>
    </x:xf>
    <x:xf numFmtId="200" fontId="4" fillId="8" borderId="2" xfId="0" applyNumberFormat="1" applyFont="1" applyFill="1" applyBorder="1" applyAlignment="1">
      <x:alignment vertical="center"/>
    </x:xf>
    <x:xf numFmtId="200" fontId="6" fillId="12" borderId="1" xfId="0" applyNumberFormat="1" applyFont="1" applyFill="1" applyBorder="1" applyAlignment="1">
      <x:alignment horizontal="right" vertical="center"/>
    </x:xf>
    <x:xf numFmtId="200" fontId="4" fillId="8" borderId="2" xfId="0" applyNumberFormat="1" applyFont="1" applyFill="1" applyBorder="1" applyAlignment="1">
      <x:alignment horizontal="right" vertical="center"/>
    </x:xf>
    <x:xf numFmtId="0" fontId="7" fillId="11" borderId="1" xfId="0" applyNumberFormat="1" applyFont="1" applyFill="1" applyBorder="1" applyAlignment="1">
      <x:alignment horizontal="left" vertical="center"/>
    </x:xf>
    <x:xf numFmtId="201" fontId="6" fillId="12" borderId="1" xfId="0" applyNumberFormat="1" applyFont="1" applyFill="1" applyBorder="1" applyAlignment="1">
      <x:alignment horizontal="right" vertical="center"/>
    </x:xf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/>
    </x:xf>
    <x:xf numFmtId="201" fontId="8" fillId="5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8" fillId="5" borderId="2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/>
    </x:xf>
    <x:xf numFmtId="201" fontId="0" fillId="11" borderId="0" xfId="0" applyNumberFormat="1" applyFont="1" applyFill="1" applyBorder="1" applyAlignment="1">
      <x:alignment horizontal="right"/>
    </x:xf>
    <x:xf numFmtId="0" fontId="6" fillId="11" borderId="0" xfId="0" applyNumberFormat="1" applyFont="1" applyFill="1" applyBorder="1"/>
    <x:xf numFmtId="201" fontId="6" fillId="11" borderId="0" xfId="0" applyNumberFormat="1" applyFont="1" applyFill="1" applyBorder="1" applyAlignment="1">
      <x:alignment horizontal="right"/>
    </x:xf>
    <x:xf numFmtId="0" fontId="6" fillId="11" borderId="1" xfId="0" applyNumberFormat="1" applyFont="1" applyFill="1" applyBorder="1"/>
    <x:xf numFmtId="201" fontId="6" fillId="11" borderId="1" xfId="0" applyNumberFormat="1" applyFont="1" applyFill="1" applyBorder="1" applyAlignment="1">
      <x:alignment horizontal="right"/>
    </x:xf>
    <x:xf numFmtId="0" fontId="6" fillId="11" borderId="1" xfId="0" applyNumberFormat="1" applyFont="1" applyFill="1" applyBorder="1" applyAlignment="1">
      <x:alignment vertical="center"/>
    </x:xf>
    <x:xf numFmtId="201" fontId="6" fillId="11" borderId="1" xfId="0" applyNumberFormat="1" applyFont="1" applyFill="1" applyBorder="1" applyAlignment="1">
      <x:alignment horizontal="right" vertical="center"/>
    </x:xf>
    <x:xf numFmtId="201" fontId="4" fillId="5" borderId="2" xfId="0" applyNumberFormat="1" applyFont="1" applyFill="1" applyBorder="1" applyAlignment="1">
      <x:alignment vertical="center"/>
    </x:xf>
    <x:xf numFmtId="201" fontId="6" fillId="11" borderId="1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horizontal="right" vertical="center"/>
    </x:xf>
    <x:xf numFmtId="0" fontId="9" fillId="11" borderId="1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0" fontId="8" fillId="8" borderId="2" xfId="0" applyNumberFormat="1" applyFont="1" applyFill="1" applyBorder="1" applyAlignment="1">
      <x:alignment vertical="center"/>
    </x:xf>
    <x:xf numFmtId="200" fontId="8" fillId="8" borderId="2" xfId="0" applyNumberFormat="1" applyFont="1" applyFill="1" applyBorder="1" applyAlignment="1">
      <x:alignment horizontal="right" vertical="center"/>
    </x:xf>
    <x:xf numFmtId="0" fontId="6" fillId="12" borderId="1" xfId="0" applyNumberFormat="1" applyFont="1" applyFill="1" applyBorder="1" applyAlignment="1">
      <x:alignment horizontal="left" vertical="center"/>
    </x:xf>
    <x:xf numFmtId="0" fontId="7" fillId="5" borderId="2" xfId="0" applyNumberFormat="1" applyFont="1" applyFill="1" applyBorder="1" applyAlignment="1">
      <x:alignment vertical="center"/>
    </x:xf>
    <x:xf numFmtId="201" fontId="7" fillId="5" borderId="2" xfId="0" applyNumberFormat="1" applyFont="1" applyFill="1" applyBorder="1" applyAlignment="1">
      <x:alignment vertical="center"/>
    </x:xf>
    <x:xf numFmtId="201" fontId="7" fillId="5" borderId="2" xfId="0" applyNumberFormat="1" applyFont="1" applyFill="1" applyBorder="1" applyAlignment="1">
      <x:alignment horizontal="right" vertical="center"/>
    </x:xf>
    <x:xf numFmtId="0" fontId="4" fillId="10" borderId="2" xfId="0" applyNumberFormat="1" applyFont="1" applyFill="1" applyBorder="1" applyAlignment="1">
      <x:alignment vertical="center"/>
    </x:xf>
    <x:xf numFmtId="0" fontId="10" fillId="10" borderId="2" xfId="0" applyNumberFormat="1" applyFont="1" applyFill="1" applyBorder="1" applyAlignment="1">
      <x:alignment vertical="center"/>
    </x:xf>
    <x:xf numFmtId="0" fontId="10" fillId="10" borderId="1" xfId="0" applyNumberFormat="1" applyFont="1" applyFill="1" applyBorder="1" applyAlignment="1">
      <x:alignment vertical="center"/>
    </x:xf>
    <x:xf numFmtId="0" fontId="10" fillId="1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16f01eee847d3" /><Relationship Type="http://schemas.openxmlformats.org/officeDocument/2006/relationships/theme" Target="/xl/theme/theme1.xml" Id="R2769978472b34f59" /><Relationship Type="http://schemas.openxmlformats.org/officeDocument/2006/relationships/sharedStrings" Target="/xl/sharedStrings.xml" Id="R8bd75d5443bb4bfa" /><Relationship Type="http://schemas.openxmlformats.org/officeDocument/2006/relationships/worksheet" Target="/xl/worksheets/sheet1.xml" Id="Rfa88749c7f874e61" /><Relationship Type="http://schemas.openxmlformats.org/officeDocument/2006/relationships/worksheet" Target="/xl/worksheets/sheet2.xml" Id="R14401855540f41fb" /><Relationship Type="http://schemas.openxmlformats.org/officeDocument/2006/relationships/worksheet" Target="/xl/worksheets/sheet3.xml" Id="R7a24ad102df34f8d" /><Relationship Type="http://schemas.openxmlformats.org/officeDocument/2006/relationships/worksheet" Target="/xl/worksheets/sheet4.xml" Id="R62e612eb3b8746d8" /><Relationship Type="http://schemas.openxmlformats.org/officeDocument/2006/relationships/worksheet" Target="/xl/worksheets/sheet5.xml" Id="R9f576d8a36e44826" /><Relationship Type="http://schemas.openxmlformats.org/officeDocument/2006/relationships/worksheet" Target="/xl/worksheets/sheet6.xml" Id="R191a9c6342f24e0d" /><Relationship Type="http://schemas.openxmlformats.org/officeDocument/2006/relationships/worksheet" Target="/xl/worksheets/sheet7.xml" Id="R8726276c74cd466b" /><Relationship Type="http://schemas.openxmlformats.org/officeDocument/2006/relationships/worksheet" Target="/xl/worksheets/sheet8.xml" Id="Rfa82d02d86194de2" /><Relationship Type="http://schemas.openxmlformats.org/officeDocument/2006/relationships/worksheet" Target="/xl/worksheets/sheet9.xml" Id="R184c10e8f87840f1" /><Relationship Type="http://schemas.openxmlformats.org/officeDocument/2006/relationships/worksheet" Target="/xl/worksheets/sheet10.xml" Id="R50052d340c264a47" /><Relationship Type="http://schemas.openxmlformats.org/officeDocument/2006/relationships/worksheet" Target="/xl/worksheets/sheet11.xml" Id="R74aa6cfd95cf4d7b" /><Relationship Type="http://schemas.openxmlformats.org/officeDocument/2006/relationships/worksheet" Target="/xl/worksheets/sheet12.xml" Id="R1070370506144afd" /><Relationship Type="http://schemas.openxmlformats.org/officeDocument/2006/relationships/worksheet" Target="/xl/worksheets/sheet13.xml" Id="Re64890ed136c42d2" /><Relationship Type="http://schemas.openxmlformats.org/officeDocument/2006/relationships/worksheet" Target="/xl/worksheets/sheet14.xml" Id="R3d3f50cadb104d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cdd6b0ddb8444c" /><Relationship Type="http://schemas.openxmlformats.org/officeDocument/2006/relationships/chart" Target="/xl/drawings/charts/chart2.xml" Id="R9be00bb91b5e44a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11e9790662e4515" /><Relationship Type="http://schemas.openxmlformats.org/officeDocument/2006/relationships/chart" Target="/xl/drawings/charts/chart4.xml" Id="R133e38dfa53949b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2c521e3eb9d4663" /><Relationship Type="http://schemas.openxmlformats.org/officeDocument/2006/relationships/chart" Target="/xl/drawings/charts/chart6.xml" Id="Rdb57539a21bd4fa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18508948e1934160" /><Relationship Type="http://schemas.openxmlformats.org/officeDocument/2006/relationships/chart" Target="/xl/drawings/charts/chart8.xml" Id="Rccf34a1f4afc4f6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ba6e1e1f34e3437c" /><Relationship Type="http://schemas.openxmlformats.org/officeDocument/2006/relationships/chart" Target="/xl/drawings/charts/chart10.xml" Id="R75e26cfe315b4b4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792dc9fdef714388" /><Relationship Type="http://schemas.openxmlformats.org/officeDocument/2006/relationships/chart" Target="/xl/drawings/charts/chart12.xml" Id="R6a9df113628c49e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116838a86ba0457b" /><Relationship Type="http://schemas.openxmlformats.org/officeDocument/2006/relationships/chart" Target="/xl/drawings/charts/chart14.xml" Id="R070587dc6c74448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5d6aec224d1c4e04" /><Relationship Type="http://schemas.openxmlformats.org/officeDocument/2006/relationships/chart" Target="/xl/drawings/charts/chart16.xml" Id="R65ce6e40f20643d6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ea1b919b1f5146f3" /><Relationship Type="http://schemas.openxmlformats.org/officeDocument/2006/relationships/chart" Target="/xl/drawings/charts/chart18.xml" Id="Rfbc7a174621e4f90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9.xml" Id="Rcb88bfb030724506" /><Relationship Type="http://schemas.openxmlformats.org/officeDocument/2006/relationships/chart" Target="/xl/drawings/charts/chart20.xml" Id="R75e20f7bc1cf45ae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9d0ffef128904a66" /><Relationship Type="http://schemas.openxmlformats.org/officeDocument/2006/relationships/chart" Target="/xl/drawings/charts/chart22.xml" Id="R53307190942741de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23.xml" Id="R3fbfe8240f734e05" /><Relationship Type="http://schemas.openxmlformats.org/officeDocument/2006/relationships/chart" Target="/xl/drawings/charts/chart24.xml" Id="Ra5b1b3e45fa14453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80066b7433234217" /><Relationship Type="http://schemas.openxmlformats.org/officeDocument/2006/relationships/chart" Target="/xl/drawings/charts/chart26.xml" Id="R8b44e8e3b2f343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Income, Expenses, and 3-Month Averages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'Annual Overview'!$U$4:$U$15</c:f>
              <c:strCache>
                <c:ptCount val="0"/>
              </c:strCache>
            </c:strRef>
          </c:cat>
          <c:val>
            <c:numRef>
              <c:f>'Annual Overview'!$V$4:$V$15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'Annual Overview'!$U$4:$U$15</c:f>
              <c:strCache>
                <c:ptCount val="0"/>
              </c:strCache>
            </c:strRef>
          </c:cat>
          <c:val>
            <c:numRef>
              <c:f>'Annual Overview'!$W$4:$W$15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3-mo avg income</c:v>
          </c:tx>
          <c:cat>
            <c:strRef>
              <c:f>'Annual Overview'!$U$4:$U$15</c:f>
              <c:strCache>
                <c:ptCount val="0"/>
              </c:strCache>
            </c:strRef>
          </c:cat>
          <c:val>
            <c:numRef>
              <c:f>'Annual Overview'!$X$4:$X$15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3-mo avg expenses</c:v>
          </c:tx>
          <c:cat>
            <c:strRef>
              <c:f>'Annual Overview'!$U$4:$U$15</c:f>
              <c:strCache>
                <c:ptCount val="0"/>
              </c:strCache>
            </c:strRef>
          </c:cat>
          <c:val>
            <c:numRef>
              <c:f>'Annual Overview'!$Y$4:$Y$15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Allocation Mix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Allocation Mix</c:v>
          </c:tx>
          <c:cat>
            <c:strRef>
              <c:f>'Annual Overview'!$M$19:$M$24</c:f>
              <c:strCache>
                <c:ptCount val="0"/>
              </c:strCache>
            </c:strRef>
          </c:cat>
          <c:val>
            <c:numRef>
              <c:f>'Annual Overview'!$N$19:$N$24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January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'January'!$AC$4:$AC$7</c:f>
              <c:strCache>
                <c:ptCount val="0"/>
              </c:strCache>
            </c:strRef>
          </c:cat>
          <c:val>
            <c:numRef>
              <c:f>'January'!$AD$4:$AD$7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'January'!$AC$4:$AC$7</c:f>
              <c:strCache>
                <c:ptCount val="0"/>
              </c:strCache>
            </c:strRef>
          </c:cat>
          <c:val>
            <c:numRef>
              <c:f>'January'!$AE$4:$AE$7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'January'!$AC$4:$AC$7</c:f>
              <c:strCache>
                <c:ptCount val="0"/>
              </c:strCache>
            </c:strRef>
          </c:cat>
          <c:val>
            <c:numRef>
              <c:f>'January'!$AF$4:$AF$7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January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'January'!$AC$29:$AC$31</c:f>
              <c:strCache>
                <c:ptCount val="0"/>
              </c:strCache>
            </c:strRef>
          </c:cat>
          <c:val>
            <c:numRef>
              <c:f>'January'!$AD$29:$AD$31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'January'!$AC$29:$AC$31</c:f>
              <c:strCache>
                <c:ptCount val="0"/>
              </c:strCache>
            </c:strRef>
          </c:cat>
          <c:val>
            <c:numRef>
              <c:f>'January'!$AE$29:$AE$31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February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'February'!$AC$4:$AC$7</c:f>
              <c:strCache>
                <c:ptCount val="0"/>
              </c:strCache>
            </c:strRef>
          </c:cat>
          <c:val>
            <c:numRef>
              <c:f>'February'!$AD$4:$AD$7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'February'!$AC$4:$AC$7</c:f>
              <c:strCache>
                <c:ptCount val="0"/>
              </c:strCache>
            </c:strRef>
          </c:cat>
          <c:val>
            <c:numRef>
              <c:f>'February'!$AE$4:$AE$7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'February'!$AC$4:$AC$7</c:f>
              <c:strCache>
                <c:ptCount val="0"/>
              </c:strCache>
            </c:strRef>
          </c:cat>
          <c:val>
            <c:numRef>
              <c:f>'February'!$AF$4:$AF$7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February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'February'!$AC$29:$AC$31</c:f>
              <c:strCache>
                <c:ptCount val="0"/>
              </c:strCache>
            </c:strRef>
          </c:cat>
          <c:val>
            <c:numRef>
              <c:f>'February'!$AD$29:$AD$31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'February'!$AC$29:$AC$31</c:f>
              <c:strCache>
                <c:ptCount val="0"/>
              </c:strCache>
            </c:strRef>
          </c:cat>
          <c:val>
            <c:numRef>
              <c:f>'February'!$AE$29:$AE$31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March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'March'!$AC$4:$AC$7</c:f>
              <c:strCache>
                <c:ptCount val="0"/>
              </c:strCache>
            </c:strRef>
          </c:cat>
          <c:val>
            <c:numRef>
              <c:f>'March'!$AD$4:$AD$7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'March'!$AC$4:$AC$7</c:f>
              <c:strCache>
                <c:ptCount val="0"/>
              </c:strCache>
            </c:strRef>
          </c:cat>
          <c:val>
            <c:numRef>
              <c:f>'March'!$AE$4:$AE$7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'March'!$AC$4:$AC$7</c:f>
              <c:strCache>
                <c:ptCount val="0"/>
              </c:strCache>
            </c:strRef>
          </c:cat>
          <c:val>
            <c:numRef>
              <c:f>'March'!$AF$4:$AF$7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March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'March'!$AC$29:$AC$31</c:f>
              <c:strCache>
                <c:ptCount val="0"/>
              </c:strCache>
            </c:strRef>
          </c:cat>
          <c:val>
            <c:numRef>
              <c:f>'March'!$AD$29:$AD$31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'March'!$AC$29:$AC$31</c:f>
              <c:strCache>
                <c:ptCount val="0"/>
              </c:strCache>
            </c:strRef>
          </c:cat>
          <c:val>
            <c:numRef>
              <c:f>'March'!$AE$29:$AE$31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April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'April'!$AC$4:$AC$7</c:f>
              <c:strCache>
                <c:ptCount val="0"/>
              </c:strCache>
            </c:strRef>
          </c:cat>
          <c:val>
            <c:numRef>
              <c:f>'April'!$AD$4:$AD$7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'April'!$AC$4:$AC$7</c:f>
              <c:strCache>
                <c:ptCount val="0"/>
              </c:strCache>
            </c:strRef>
          </c:cat>
          <c:val>
            <c:numRef>
              <c:f>'April'!$AE$4:$AE$7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'April'!$AC$4:$AC$7</c:f>
              <c:strCache>
                <c:ptCount val="0"/>
              </c:strCache>
            </c:strRef>
          </c:cat>
          <c:val>
            <c:numRef>
              <c:f>'April'!$AF$4:$AF$7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April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'April'!$AC$29:$AC$31</c:f>
              <c:strCache>
                <c:ptCount val="0"/>
              </c:strCache>
            </c:strRef>
          </c:cat>
          <c:val>
            <c:numRef>
              <c:f>'April'!$AD$29:$AD$31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'April'!$AC$29:$AC$31</c:f>
              <c:strCache>
                <c:ptCount val="0"/>
              </c:strCache>
            </c:strRef>
          </c:cat>
          <c:val>
            <c:numRef>
              <c:f>'April'!$AE$29:$AE$31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May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'May'!$AC$4:$AC$7</c:f>
              <c:strCache>
                <c:ptCount val="0"/>
              </c:strCache>
            </c:strRef>
          </c:cat>
          <c:val>
            <c:numRef>
              <c:f>'May'!$AD$4:$AD$7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'May'!$AC$4:$AC$7</c:f>
              <c:strCache>
                <c:ptCount val="0"/>
              </c:strCache>
            </c:strRef>
          </c:cat>
          <c:val>
            <c:numRef>
              <c:f>'May'!$AE$4:$AE$7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'May'!$AC$4:$AC$7</c:f>
              <c:strCache>
                <c:ptCount val="0"/>
              </c:strCache>
            </c:strRef>
          </c:cat>
          <c:val>
            <c:numRef>
              <c:f>'May'!$AF$4:$AF$7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May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'May'!$AC$29:$AC$31</c:f>
              <c:strCache>
                <c:ptCount val="0"/>
              </c:strCache>
            </c:strRef>
          </c:cat>
          <c:val>
            <c:numRef>
              <c:f>'May'!$AD$29:$AD$31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'May'!$AC$29:$AC$31</c:f>
              <c:strCache>
                <c:ptCount val="0"/>
              </c:strCache>
            </c:strRef>
          </c:cat>
          <c:val>
            <c:numRef>
              <c:f>'May'!$AE$29:$AE$31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June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'June'!$AC$4:$AC$7</c:f>
              <c:strCache>
                <c:ptCount val="0"/>
              </c:strCache>
            </c:strRef>
          </c:cat>
          <c:val>
            <c:numRef>
              <c:f>'June'!$AD$4:$AD$7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'June'!$AC$4:$AC$7</c:f>
              <c:strCache>
                <c:ptCount val="0"/>
              </c:strCache>
            </c:strRef>
          </c:cat>
          <c:val>
            <c:numRef>
              <c:f>'June'!$AE$4:$AE$7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'June'!$AC$4:$AC$7</c:f>
              <c:strCache>
                <c:ptCount val="0"/>
              </c:strCache>
            </c:strRef>
          </c:cat>
          <c:val>
            <c:numRef>
              <c:f>'June'!$AF$4:$AF$7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June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'June'!$AC$29:$AC$31</c:f>
              <c:strCache>
                <c:ptCount val="0"/>
              </c:strCache>
            </c:strRef>
          </c:cat>
          <c:val>
            <c:numRef>
              <c:f>'June'!$AD$29:$AD$31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'June'!$AC$29:$AC$31</c:f>
              <c:strCache>
                <c:ptCount val="0"/>
              </c:strCache>
            </c:strRef>
          </c:cat>
          <c:val>
            <c:numRef>
              <c:f>'June'!$AE$29:$AE$31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July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'July'!$AC$4:$AC$7</c:f>
              <c:strCache>
                <c:ptCount val="0"/>
              </c:strCache>
            </c:strRef>
          </c:cat>
          <c:val>
            <c:numRef>
              <c:f>'July'!$AD$4:$AD$7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'July'!$AC$4:$AC$7</c:f>
              <c:strCache>
                <c:ptCount val="0"/>
              </c:strCache>
            </c:strRef>
          </c:cat>
          <c:val>
            <c:numRef>
              <c:f>'July'!$AE$4:$AE$7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'July'!$AC$4:$AC$7</c:f>
              <c:strCache>
                <c:ptCount val="0"/>
              </c:strCache>
            </c:strRef>
          </c:cat>
          <c:val>
            <c:numRef>
              <c:f>'July'!$AF$4:$AF$7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July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'July'!$AC$29:$AC$31</c:f>
              <c:strCache>
                <c:ptCount val="0"/>
              </c:strCache>
            </c:strRef>
          </c:cat>
          <c:val>
            <c:numRef>
              <c:f>'July'!$AD$29:$AD$31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'July'!$AC$29:$AC$31</c:f>
              <c:strCache>
                <c:ptCount val="0"/>
              </c:strCache>
            </c:strRef>
          </c:cat>
          <c:val>
            <c:numRef>
              <c:f>'July'!$AE$29:$AE$31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August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'August'!$AC$4:$AC$7</c:f>
              <c:strCache>
                <c:ptCount val="0"/>
              </c:strCache>
            </c:strRef>
          </c:cat>
          <c:val>
            <c:numRef>
              <c:f>'August'!$AD$4:$AD$7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'August'!$AC$4:$AC$7</c:f>
              <c:strCache>
                <c:ptCount val="0"/>
              </c:strCache>
            </c:strRef>
          </c:cat>
          <c:val>
            <c:numRef>
              <c:f>'August'!$AE$4:$AE$7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'August'!$AC$4:$AC$7</c:f>
              <c:strCache>
                <c:ptCount val="0"/>
              </c:strCache>
            </c:strRef>
          </c:cat>
          <c:val>
            <c:numRef>
              <c:f>'August'!$AF$4:$AF$7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August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'August'!$AC$29:$AC$31</c:f>
              <c:strCache>
                <c:ptCount val="0"/>
              </c:strCache>
            </c:strRef>
          </c:cat>
          <c:val>
            <c:numRef>
              <c:f>'August'!$AD$29:$AD$31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'August'!$AC$29:$AC$31</c:f>
              <c:strCache>
                <c:ptCount val="0"/>
              </c:strCache>
            </c:strRef>
          </c:cat>
          <c:val>
            <c:numRef>
              <c:f>'August'!$AE$29:$AE$31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September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'September'!$AC$4:$AC$7</c:f>
              <c:strCache>
                <c:ptCount val="0"/>
              </c:strCache>
            </c:strRef>
          </c:cat>
          <c:val>
            <c:numRef>
              <c:f>'September'!$AD$4:$AD$7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'September'!$AC$4:$AC$7</c:f>
              <c:strCache>
                <c:ptCount val="0"/>
              </c:strCache>
            </c:strRef>
          </c:cat>
          <c:val>
            <c:numRef>
              <c:f>'September'!$AE$4:$AE$7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'September'!$AC$4:$AC$7</c:f>
              <c:strCache>
                <c:ptCount val="0"/>
              </c:strCache>
            </c:strRef>
          </c:cat>
          <c:val>
            <c:numRef>
              <c:f>'September'!$AF$4:$AF$7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September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'September'!$AC$29:$AC$31</c:f>
              <c:strCache>
                <c:ptCount val="0"/>
              </c:strCache>
            </c:strRef>
          </c:cat>
          <c:val>
            <c:numRef>
              <c:f>'September'!$AD$29:$AD$31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'September'!$AC$29:$AC$31</c:f>
              <c:strCache>
                <c:ptCount val="0"/>
              </c:strCache>
            </c:strRef>
          </c:cat>
          <c:val>
            <c:numRef>
              <c:f>'September'!$AE$29:$AE$31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October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'October'!$AC$4:$AC$7</c:f>
              <c:strCache>
                <c:ptCount val="0"/>
              </c:strCache>
            </c:strRef>
          </c:cat>
          <c:val>
            <c:numRef>
              <c:f>'October'!$AD$4:$AD$7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'October'!$AC$4:$AC$7</c:f>
              <c:strCache>
                <c:ptCount val="0"/>
              </c:strCache>
            </c:strRef>
          </c:cat>
          <c:val>
            <c:numRef>
              <c:f>'October'!$AE$4:$AE$7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'October'!$AC$4:$AC$7</c:f>
              <c:strCache>
                <c:ptCount val="0"/>
              </c:strCache>
            </c:strRef>
          </c:cat>
          <c:val>
            <c:numRef>
              <c:f>'October'!$AF$4:$AF$7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October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'October'!$AC$29:$AC$31</c:f>
              <c:strCache>
                <c:ptCount val="0"/>
              </c:strCache>
            </c:strRef>
          </c:cat>
          <c:val>
            <c:numRef>
              <c:f>'October'!$AD$29:$AD$31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'October'!$AC$29:$AC$31</c:f>
              <c:strCache>
                <c:ptCount val="0"/>
              </c:strCache>
            </c:strRef>
          </c:cat>
          <c:val>
            <c:numRef>
              <c:f>'October'!$AE$29:$AE$31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November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'November'!$AC$4:$AC$7</c:f>
              <c:strCache>
                <c:ptCount val="0"/>
              </c:strCache>
            </c:strRef>
          </c:cat>
          <c:val>
            <c:numRef>
              <c:f>'November'!$AD$4:$AD$7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'November'!$AC$4:$AC$7</c:f>
              <c:strCache>
                <c:ptCount val="0"/>
              </c:strCache>
            </c:strRef>
          </c:cat>
          <c:val>
            <c:numRef>
              <c:f>'November'!$AE$4:$AE$7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'November'!$AC$4:$AC$7</c:f>
              <c:strCache>
                <c:ptCount val="0"/>
              </c:strCache>
            </c:strRef>
          </c:cat>
          <c:val>
            <c:numRef>
              <c:f>'November'!$AF$4:$AF$7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November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'November'!$AC$29:$AC$31</c:f>
              <c:strCache>
                <c:ptCount val="0"/>
              </c:strCache>
            </c:strRef>
          </c:cat>
          <c:val>
            <c:numRef>
              <c:f>'November'!$AD$29:$AD$31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'November'!$AC$29:$AC$31</c:f>
              <c:strCache>
                <c:ptCount val="0"/>
              </c:strCache>
            </c:strRef>
          </c:cat>
          <c:val>
            <c:numRef>
              <c:f>'November'!$AE$29:$AE$31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December Weekly Income, Expenses, and Allocations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'December'!$AC$4:$AC$7</c:f>
              <c:strCache>
                <c:ptCount val="0"/>
              </c:strCache>
            </c:strRef>
          </c:cat>
          <c:val>
            <c:numRef>
              <c:f>'December'!$AD$4:$AD$7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'December'!$AC$4:$AC$7</c:f>
              <c:strCache>
                <c:ptCount val="0"/>
              </c:strCache>
            </c:strRef>
          </c:cat>
          <c:val>
            <c:numRef>
              <c:f>'December'!$AE$4:$AE$7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Allocations</c:v>
          </c:tx>
          <c:cat>
            <c:strRef>
              <c:f>'December'!$AC$4:$AC$7</c:f>
              <c:strCache>
                <c:ptCount val="0"/>
              </c:strCache>
            </c:strRef>
          </c:cat>
          <c:val>
            <c:numRef>
              <c:f>'December'!$AF$4:$AF$7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December 3-Month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cat>
            <c:strRef>
              <c:f>'December'!$AC$29:$AC$31</c:f>
              <c:strCache>
                <c:ptCount val="0"/>
              </c:strCache>
            </c:strRef>
          </c:cat>
          <c:val>
            <c:numRef>
              <c:f>'December'!$AD$29:$AD$31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'December'!$AC$29:$AC$31</c:f>
              <c:strCache>
                <c:ptCount val="0"/>
              </c:strCache>
            </c:strRef>
          </c:cat>
          <c:val>
            <c:numRef>
              <c:f>'December'!$AE$29:$AE$31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12</xdr:col>
      <xdr:colOff>0</xdr:colOff>
      <xdr:row>1</xdr:row>
      <xdr:rowOff>0</xdr:rowOff>
    </xdr:from>
    <xdr:ext cx="6000750" cy="290512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cdd6b0ddb8444c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14625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e00bb91b5e44ad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1e9790662e4515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3e38dfa53949b9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c521e3eb9d4663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57539a21bd4fa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508948e1934160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f34a1f4afc4f67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6e1e1f34e3437c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e26cfe315b4b4b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2dc9fdef714388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9df113628c49e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6838a86ba0457b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0587dc6c74448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6aec224d1c4e04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ce6e40f20643d6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1b919b1f5146f3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c7a174621e4f90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88bfb030724506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e20f7bc1cf45ae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0ffef128904a66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307190942741de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bfe8240f734e05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b1b3e45fa14453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28</xdr:col>
      <xdr:colOff>0</xdr:colOff>
      <xdr:row>8</xdr:row>
      <xdr:rowOff>0</xdr:rowOff>
    </xdr:from>
    <xdr:ext cx="5334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066b7433234217"/>
        </a:graphicData>
      </a:graphic>
    </xdr:graphicFrame>
    <xdr:clientData/>
  </xdr:oneCellAnchor>
  <xdr:oneCellAnchor>
    <xdr:from>
      <xdr:col>28</xdr:col>
      <xdr:colOff>0</xdr:colOff>
      <xdr:row>32</xdr:row>
      <xdr:rowOff>0</xdr:rowOff>
    </xdr:from>
    <xdr:ext cx="5334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44e8e3b2f3436a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9e52b38ab334c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7571651ddd84b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9bf39fc110d4e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6215ff51b3045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f6c2cb82b72a4d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49b7a033646c4d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04cdf0ab9f9946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7bc9af7f53474b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6cbcf2df11734f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02a06172afce40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1.xml" Id="R774880db407b45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2.xml" Id="R3432b0674aaf489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3.xml" Id="R6fe02d89d9434e02" /></Relationships>
</file>

<file path=xl/worksheets/sheet1.xml><?xml version="1.0" encoding="utf-8"?>
<x:worksheet xmlns:x="http://schemas.openxmlformats.org/spreadsheetml/2006/main">
  <x:sheetFormatPr defaultRowHeight="15"/>
  <x:cols>
    <x:col min="1" max="1" width="2.3299999237060547" hidden="0" customWidth="1"/>
    <x:col min="2" max="2" width="21.469999313354492" hidden="0" customWidth="1"/>
    <x:col min="3" max="3" width="22.700000762939453" hidden="0" customWidth="1"/>
    <x:col min="4" max="4" width="25.149999618530273" hidden="0" customWidth="1"/>
    <x:col min="5" max="5" width="2.819999933242798" hidden="0" customWidth="1"/>
    <x:col min="6" max="6" width="24.540000915527344" hidden="0" customWidth="1"/>
    <x:col min="7" max="7" width="24.540000915527344" hidden="0" customWidth="1"/>
    <x:col min="8" max="8" width="25.149999618530273" hidden="0" customWidth="1"/>
    <x:col min="9" max="9" width="25.149999618530273" hidden="0" customWidth="1"/>
  </x:cols>
  <x:sheetData>
    <x:row r="2">
      <x:c r="B2" s="4" t="str">
        <x:v>Household Budget System</x:v>
      </x:c>
      <x:c r="C2" s="4" t="str">
        <x:v>Household Budget System</x:v>
      </x:c>
      <x:c r="D2" s="4" t="str">
        <x:v>Household Budget System</x:v>
      </x:c>
      <x:c r="E2" s="4" t="str">
        <x:v>Household Budget System</x:v>
      </x:c>
      <x:c r="F2" s="4" t="str">
        <x:v>Household Budget System</x:v>
      </x:c>
      <x:c r="G2" s="4" t="str">
        <x:v>Household Budget System</x:v>
      </x:c>
      <x:c r="H2" s="4" t="str">
        <x:v>Household Budget System</x:v>
      </x:c>
      <x:c r="I2" s="4" t="str">
        <x:v>Household Budget System</x:v>
      </x:c>
    </x:row>
    <x:row r="3">
      <x:c r="B3" s="8" t="str">
        <x:v>A polished workbook for weekly cash flow, household expenses, rolling trends, and automatic allocation planning.</x:v>
      </x:c>
      <x:c r="C3" s="8" t="str">
        <x:v>A polished workbook for weekly cash flow, household expenses, rolling trends, and automatic allocation planning.</x:v>
      </x:c>
      <x:c r="D3" s="8" t="str">
        <x:v>A polished workbook for weekly cash flow, household expenses, rolling trends, and automatic allocation planning.</x:v>
      </x:c>
      <x:c r="E3" s="8" t="str">
        <x:v>A polished workbook for weekly cash flow, household expenses, rolling trends, and automatic allocation planning.</x:v>
      </x:c>
      <x:c r="F3" s="8" t="str">
        <x:v>A polished workbook for weekly cash flow, household expenses, rolling trends, and automatic allocation planning.</x:v>
      </x:c>
      <x:c r="G3" s="8" t="str">
        <x:v>A polished workbook for weekly cash flow, household expenses, rolling trends, and automatic allocation planning.</x:v>
      </x:c>
      <x:c r="H3" s="8" t="str">
        <x:v>A polished workbook for weekly cash flow, household expenses, rolling trends, and automatic allocation planning.</x:v>
      </x:c>
      <x:c r="I3" s="8" t="str">
        <x:v>A polished workbook for weekly cash flow, household expenses, rolling trends, and automatic allocation planning.</x:v>
      </x:c>
    </x:row>
    <x:row r="5">
      <x:c r="B5" s="12" t="str">
        <x:v>Quick Start</x:v>
      </x:c>
      <x:c r="C5" s="12" t="str">
        <x:v>Quick Start</x:v>
      </x:c>
      <x:c r="D5" s="12" t="str">
        <x:v>Quick Start</x:v>
      </x:c>
      <x:c r="F5" s="25" t="str">
        <x:v>How The Logic Works</x:v>
      </x:c>
      <x:c r="G5" s="25" t="str">
        <x:v>How The Logic Works</x:v>
      </x:c>
      <x:c r="H5" s="25" t="str">
        <x:v>How The Logic Works</x:v>
      </x:c>
      <x:c r="I5" s="25" t="str">
        <x:v>How The Logic Works</x:v>
      </x:c>
    </x:row>
    <x:row r="6">
      <x:c r="B6" s="21" t="str">
        <x:v>1</x:v>
      </x:c>
      <x:c r="C6" s="17" t="str">
        <x:v>Set allocations</x:v>
      </x:c>
      <x:c r="D6" s="17" t="str">
        <x:v>Go to Annual Overview and enter target percentages. Blank buckets automatically share what is left.</x:v>
      </x:c>
      <x:c r="F6" s="31" t="str">
        <x:v>Income less expenses</x:v>
      </x:c>
      <x:c r="G6" s="30" t="str">
        <x:v>Each week calculates income minus tracked expenses.</x:v>
      </x:c>
      <x:c r="H6" s="31" t="str">
        <x:v>Allocations</x:v>
      </x:c>
      <x:c r="I6" s="30" t="str">
        <x:v>Positive cash flow is assigned to TFSA / House, investments, debt, and reserves.</x:v>
      </x:c>
    </x:row>
    <x:row r="7">
      <x:c r="B7" s="21" t="str">
        <x:v>2</x:v>
      </x:c>
      <x:c r="C7" s="17" t="str">
        <x:v>Pick allocation mode</x:v>
      </x:c>
      <x:c r="D7" s="17" t="str">
        <x:v>Use the dropdown for Month-to-date smoothing or Independent weekly.</x:v>
      </x:c>
      <x:c r="F7" s="31" t="str">
        <x:v>Month-to-date smoothing</x:v>
      </x:c>
      <x:c r="G7" s="30" t="str">
        <x:v>If week 1 is positive and week 2 is negative, week 2 reduces the prior allocation.</x:v>
      </x:c>
      <x:c r="H7" s="31" t="str">
        <x:v>Independent weekly</x:v>
      </x:c>
      <x:c r="I7" s="30" t="str">
        <x:v>Each week stands alone and negative weeks do not pull back prior allocations.</x:v>
      </x:c>
    </x:row>
    <x:row r="8">
      <x:c r="B8" s="21" t="str">
        <x:v>3</x:v>
      </x:c>
      <x:c r="C8" s="17" t="str">
        <x:v>Rename custom categories</x:v>
      </x:c>
      <x:c r="D8" s="17" t="str">
        <x:v>Edit Custom 1, Custom 2, and Custom 3 on Annual Overview if you want categories like Gym, Medical, or Pets.</x:v>
      </x:c>
      <x:c r="F8" s="31" t="str">
        <x:v>Effective percentages</x:v>
      </x:c>
      <x:c r="G8" s="30" t="str">
        <x:v>If you type 100% in one bucket, the others become 0%. If you leave blanks, the remaining percentage spreads evenly.</x:v>
      </x:c>
      <x:c r="H8" s="31" t="str">
        <x:v>Checks</x:v>
      </x:c>
      <x:c r="I8" s="30" t="str">
        <x:v>Every month has an OK check to confirm totals reconcile.</x:v>
      </x:c>
    </x:row>
    <x:row r="9">
      <x:c r="B9" s="21" t="str">
        <x:v>4</x:v>
      </x:c>
      <x:c r="C9" s="17" t="str">
        <x:v>Enter each week</x:v>
      </x:c>
      <x:c r="D9" s="17" t="str">
        <x:v>Use the month tabs. Add income and expenses line by line; weekly and monthly totals calculate automatically.</x:v>
      </x:c>
      <x:c r="F9" s="31" t="str">
        <x:v>Rolling averages</x:v>
      </x:c>
      <x:c r="G9" s="30" t="str">
        <x:v>The dashboard tracks recent 3-month average income and expenses.</x:v>
      </x:c>
      <x:c r="H9" s="31" t="str">
        <x:v>Spending focus</x:v>
      </x:c>
      <x:c r="I9" s="30" t="str">
        <x:v>The workbook highlights where most money is going each month and across the year.</x:v>
      </x:c>
    </x:row>
    <x:row r="10">
      <x:c r="B10" s="21" t="str">
        <x:v>5</x:v>
      </x:c>
      <x:c r="C10" s="17" t="str">
        <x:v>Review dashboard</x:v>
      </x:c>
      <x:c r="D10" s="17" t="str">
        <x:v>Use Annual Overview and the Spending Focus panels to see trends, biggest categories, and cash flow.</x:v>
      </x:c>
      <x:c r="F10" s="31" t="str">
        <x:v>Custom categories</x:v>
      </x:c>
      <x:c r="G10" s="30" t="str">
        <x:v>Custom rows are treated as real expense categories.</x:v>
      </x:c>
      <x:c r="H10" s="31" t="str">
        <x:v>Compatibility</x:v>
      </x:c>
      <x:c r="I10" s="30" t="str">
        <x:v>The file is built as an Excel workbook and can be opened in Excel or Apple Numbers.</x:v>
      </x:c>
    </x:row>
    <x:row r="12">
      <x:c r="B12" s="35" t="str">
        <x:v>Input Legend</x:v>
      </x:c>
      <x:c r="C12" s="35" t="str">
        <x:v>Input Legend</x:v>
      </x:c>
      <x:c r="D12" s="35" t="str">
        <x:v>Input Legend</x:v>
      </x:c>
      <x:c r="F12" s="35" t="str">
        <x:v>Dashboard Questions Answered</x:v>
      </x:c>
      <x:c r="G12" s="35" t="str">
        <x:v>Dashboard Questions Answered</x:v>
      </x:c>
      <x:c r="H12" s="35" t="str">
        <x:v>Dashboard Questions Answered</x:v>
      </x:c>
      <x:c r="I12" s="35" t="str">
        <x:v>Dashboard Questions Answered</x:v>
      </x:c>
    </x:row>
    <x:row r="13">
      <x:c r="B13" s="37" t="str">
        <x:v>Yellow cells</x:v>
      </x:c>
      <x:c r="C13" s="17" t="str">
        <x:v>User inputs</x:v>
      </x:c>
      <x:c r="D13" s="17" t="str">
        <x:v>Percentages, dropdown choices, and custom category names.</x:v>
      </x:c>
      <x:c r="F13" s="31" t="str">
        <x:v>Am I spending less?</x:v>
      </x:c>
      <x:c r="G13" s="30" t="str">
        <x:v>Expense direction compares the latest month to the prior month.</x:v>
      </x:c>
      <x:c r="H13" s="31" t="str">
        <x:v>What is normal lately?</x:v>
      </x:c>
      <x:c r="I13" s="30" t="str">
        <x:v>3-month averages smooth income and expense swings.</x:v>
      </x:c>
    </x:row>
    <x:row r="14">
      <x:c r="B14" s="37" t="str">
        <x:v>White cells</x:v>
      </x:c>
      <x:c r="C14" s="17" t="str">
        <x:v>Weekly entries</x:v>
      </x:c>
      <x:c r="D14" s="17" t="str">
        <x:v>Enter income and expenses by line item.</x:v>
      </x:c>
      <x:c r="F14" s="31" t="str">
        <x:v>Where should I adjust?</x:v>
      </x:c>
      <x:c r="G14" s="30" t="str">
        <x:v>Top category by month shows the biggest spending area for each month.</x:v>
      </x:c>
      <x:c r="H14" s="31" t="str">
        <x:v>What is the yearly pressure point?</x:v>
      </x:c>
      <x:c r="I14" s="30" t="str">
        <x:v>Biggest annual category shows the largest full-year spending bucket.</x:v>
      </x:c>
    </x:row>
    <x:row r="15">
      <x:c r="B15" s="37" t="str">
        <x:v>Pale green cells</x:v>
      </x:c>
      <x:c r="C15" s="17" t="str">
        <x:v>Calculated results</x:v>
      </x:c>
      <x:c r="D15" s="17" t="str">
        <x:v>Totals, trends, allocations, and checks.</x:v>
      </x:c>
      <x:c r="F15" s="31" t="str">
        <x:v>How much can be invested?</x:v>
      </x:c>
      <x:c r="G15" s="30" t="str">
        <x:v>Net before allocations and allocation totals show available cash flow.</x:v>
      </x:c>
      <x:c r="H15" s="31" t="str">
        <x:v>What if a week is negative?</x:v>
      </x:c>
      <x:c r="I15" s="30" t="str">
        <x:v>Month-to-date smoothing subtracts it from the month allocation total.</x:v>
      </x:c>
    </x:row>
    <x:row r="16">
      <x:c r="B16" s="37" t="str">
        <x:v>Coral headers</x:v>
      </x:c>
      <x:c r="C16" s="17" t="str">
        <x:v>Setup or category areas</x:v>
      </x:c>
      <x:c r="D16" s="17" t="str">
        <x:v>Use these to understand what is being tracked.</x:v>
      </x:c>
      <x:c r="F16" s="31" t="str">
        <x:v>Can two people use it?</x:v>
      </x:c>
      <x:c r="G16" s="30" t="str">
        <x:v>The categories and reserves are designed for a two-person household.</x:v>
      </x:c>
      <x:c r="H16" s="31" t="str">
        <x:v>Can I personalize it?</x:v>
      </x:c>
      <x:c r="I16" s="30" t="str">
        <x:v>Use the custom categories and allocation percentages to fit your household.</x:v>
      </x:c>
    </x:row>
    <x:row r="17">
      <x:c r="B17" s="37" t="str">
        <x:v>Dark green headers</x:v>
      </x:c>
      <x:c r="C17" s="17" t="str">
        <x:v>Dashboard / summary areas</x:v>
      </x:c>
      <x:c r="D17" s="17" t="str">
        <x:v>Review performance and next decisions.</x:v>
      </x:c>
      <x:c r="F17" s="31" t="str">
        <x:v>What should I sell as value?</x:v>
      </x:c>
      <x:c r="G17" s="30" t="str">
        <x:v>Weekly entry, monthly summaries, yearly dashboard, rolling averages, and guided controls.</x:v>
      </x:c>
      <x:c r="H17" s="31" t="str">
        <x:v>What stays automatic?</x:v>
      </x:c>
      <x:c r="I17" s="30" t="str">
        <x:v>Totals, charts, trends, category rankings, and allocation split.</x:v>
      </x:c>
    </x:row>
    <x:row r="20">
      <x:c r="B20" s="25" t="str">
        <x:v>Workbook Map</x:v>
      </x:c>
      <x:c r="C20" s="25" t="str">
        <x:v>Workbook Map</x:v>
      </x:c>
      <x:c r="D20" s="25" t="str">
        <x:v>Workbook Map</x:v>
      </x:c>
      <x:c r="E20" s="25" t="str">
        <x:v>Workbook Map</x:v>
      </x:c>
      <x:c r="F20" s="25" t="str">
        <x:v>Workbook Map</x:v>
      </x:c>
      <x:c r="G20" s="25" t="str">
        <x:v>Workbook Map</x:v>
      </x:c>
      <x:c r="H20" s="25" t="str">
        <x:v>Workbook Map</x:v>
      </x:c>
      <x:c r="I20" s="25" t="str">
        <x:v>Workbook Map</x:v>
      </x:c>
    </x:row>
    <x:row r="21">
      <x:c r="B21" s="43" t="str">
        <x:v>Area</x:v>
      </x:c>
      <x:c r="C21" s="43" t="str">
        <x:v>Purpose</x:v>
      </x:c>
      <x:c r="D21" s="43" t="str">
        <x:v>Use</x:v>
      </x:c>
      <x:c r="F21" s="43" t="str">
        <x:v>Feature</x:v>
      </x:c>
      <x:c r="G21" s="43" t="str">
        <x:v>What it does</x:v>
      </x:c>
      <x:c r="H21" s="43" t="str">
        <x:v>Where</x:v>
      </x:c>
      <x:c r="I21" s="43" t="str">
        <x:v>Automatic</x:v>
      </x:c>
    </x:row>
    <x:row r="22">
      <x:c r="B22" s="44" t="str">
        <x:v>Start Here</x:v>
      </x:c>
      <x:c r="C22" s="17" t="str">
        <x:v>Guide</x:v>
      </x:c>
      <x:c r="D22" s="17" t="str">
        <x:v>Read before using or reselling the workbook.</x:v>
      </x:c>
      <x:c r="F22" s="44" t="str">
        <x:v>Dropdown mode</x:v>
      </x:c>
      <x:c r="G22" s="17" t="str">
        <x:v>Controls how weekly allocation timing works.</x:v>
      </x:c>
      <x:c r="H22" s="17" t="str">
        <x:v>Annual Overview</x:v>
      </x:c>
      <x:c r="I22" s="17" t="str">
        <x:v>Yes</x:v>
      </x:c>
    </x:row>
    <x:row r="23">
      <x:c r="B23" s="44" t="str">
        <x:v>Annual Overview</x:v>
      </x:c>
      <x:c r="C23" s="17" t="str">
        <x:v>Dashboard and controls</x:v>
      </x:c>
      <x:c r="D23" s="17" t="str">
        <x:v>Set allocations, rename custom categories, and review full-year trends.</x:v>
      </x:c>
      <x:c r="F23" s="44" t="str">
        <x:v>Custom categories</x:v>
      </x:c>
      <x:c r="G23" s="17" t="str">
        <x:v>Lets users rename three flexible expense columns.</x:v>
      </x:c>
      <x:c r="H23" s="17" t="str">
        <x:v>Annual Overview</x:v>
      </x:c>
      <x:c r="I23" s="17" t="str">
        <x:v>Labels flow to months</x:v>
      </x:c>
    </x:row>
    <x:row r="24">
      <x:c r="B24" s="44" t="str">
        <x:v>Month tabs</x:v>
      </x:c>
      <x:c r="C24" s="17" t="str">
        <x:v>Weekly entry</x:v>
      </x:c>
      <x:c r="D24" s="17" t="str">
        <x:v>Enter income and expense line items in the correct month.</x:v>
      </x:c>
      <x:c r="F24" s="44" t="str">
        <x:v>Allocation engine</x:v>
      </x:c>
      <x:c r="G24" s="17" t="str">
        <x:v>Splits positive cash flow by effective percentages.</x:v>
      </x:c>
      <x:c r="H24" s="17" t="str">
        <x:v>All months</x:v>
      </x:c>
      <x:c r="I24" s="17" t="str">
        <x:v>Yes</x:v>
      </x:c>
    </x:row>
    <x:row r="25">
      <x:c r="B25" s="44" t="str">
        <x:v>Spending Focus</x:v>
      </x:c>
      <x:c r="C25" s="17" t="str">
        <x:v>Decision support</x:v>
      </x:c>
      <x:c r="D25" s="17" t="str">
        <x:v>See the top category, rolling averages, and whether expenses are rising or falling.</x:v>
      </x:c>
      <x:c r="F25" s="44" t="str">
        <x:v>3-month trend</x:v>
      </x:c>
      <x:c r="G25" s="17" t="str">
        <x:v>Shows recent average income and expenses.</x:v>
      </x:c>
      <x:c r="H25" s="17" t="str">
        <x:v>Annual + months</x:v>
      </x:c>
      <x:c r="I25" s="17" t="str">
        <x:v>Yes</x:v>
      </x:c>
    </x:row>
    <x:row r="26">
      <x:c r="B26" s="44" t="str">
        <x:v>Checks</x:v>
      </x:c>
      <x:c r="C26" s="17" t="str">
        <x:v>Quality control</x:v>
      </x:c>
      <x:c r="D26" s="17" t="str">
        <x:v>Look for OK in each month after entering data.</x:v>
      </x:c>
      <x:c r="F26" s="44" t="str">
        <x:v>Top category</x:v>
      </x:c>
      <x:c r="G26" s="17" t="str">
        <x:v>Highlights the biggest spending bucket.</x:v>
      </x:c>
      <x:c r="H26" s="17" t="str">
        <x:v>Annual + months</x:v>
      </x:c>
      <x:c r="I26" s="17" t="str">
        <x:v>Yes</x:v>
      </x:c>
    </x:row>
    <x:row r="28">
      <x:c r="B28" s="50" t="str">
        <x:v>Recommended first setup: enter allocation percentages, pick the allocation mode dropdown, rename the three custom categories, then start with January.</x:v>
      </x:c>
      <x:c r="C28" s="50" t="str">
        <x:v>Recommended first setup: enter allocation percentages, pick the allocation mode dropdown, rename the three custom categories, then start with January.</x:v>
      </x:c>
      <x:c r="D28" s="50" t="str">
        <x:v>Recommended first setup: enter allocation percentages, pick the allocation mode dropdown, rename the three custom categories, then start with January.</x:v>
      </x:c>
      <x:c r="E28" s="50" t="str">
        <x:v>Recommended first setup: enter allocation percentages, pick the allocation mode dropdown, rename the three custom categories, then start with January.</x:v>
      </x:c>
      <x:c r="F28" s="50" t="str">
        <x:v>Recommended first setup: enter allocation percentages, pick the allocation mode dropdown, rename the three custom categories, then start with January.</x:v>
      </x:c>
      <x:c r="G28" s="50" t="str">
        <x:v>Recommended first setup: enter allocation percentages, pick the allocation mode dropdown, rename the three custom categories, then start with January.</x:v>
      </x:c>
      <x:c r="H28" s="50" t="str">
        <x:v>Recommended first setup: enter allocation percentages, pick the allocation mode dropdown, rename the three custom categories, then start with January.</x:v>
      </x:c>
      <x:c r="I28" s="50" t="str">
        <x:v>Recommended first setup: enter allocation percentages, pick the allocation mode dropdown, rename the three custom categories, then start with January.</x:v>
      </x:c>
    </x:row>
  </x:sheetData>
  <x:mergeCells>
    <x:mergeCell ref="B2:I2"/>
    <x:mergeCell ref="B3:I3"/>
    <x:mergeCell ref="B5:D5"/>
    <x:mergeCell ref="F5:I5"/>
    <x:mergeCell ref="B12:D12"/>
    <x:mergeCell ref="F12:I12"/>
    <x:mergeCell ref="B20:I20"/>
    <x:mergeCell ref="B28:I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15.579999923706055" hidden="0" customWidth="1"/>
    <x:col min="3" max="3" width="15.579999923706055" hidden="0" customWidth="1"/>
    <x:col min="4" max="4" width="18.040000915527344" hidden="0" customWidth="1"/>
    <x:col min="5" max="5" width="24.540000915527344" hidden="0" customWidth="1"/>
    <x:col min="6" max="6" width="15.579999923706055" hidden="0" customWidth="1"/>
    <x:col min="7" max="7" width="13.869999885559082" hidden="0" customWidth="1"/>
    <x:col min="8" max="8" width="15.579999923706055" hidden="0" customWidth="1"/>
    <x:col min="9" max="9" width="16.06999969482422" hidden="0" customWidth="1"/>
    <x:col min="10" max="10" width="16.06999969482422" hidden="0" customWidth="1"/>
    <x:col min="11" max="11" width="15.579999923706055" hidden="0" customWidth="1"/>
    <x:col min="12" max="12" width="1.600000023841858" hidden="0" customWidth="1"/>
    <x:col min="13" max="13" width="22.700000762939453" hidden="0" customWidth="1"/>
    <x:col min="14" max="14" width="19.020000457763672" hidden="0" customWidth="1"/>
    <x:col min="15" max="15" width="15.34000015258789" hidden="0" customWidth="1"/>
    <x:col min="16" max="16" width="13.869999885559082" hidden="0" customWidth="1"/>
    <x:col min="17" max="17" width="13.869999885559082" hidden="0" customWidth="1"/>
    <x:col min="18" max="18" width="8.710000038146973" hidden="0" customWidth="1"/>
    <x:col min="19" max="19" width="11.170000076293945" hidden="0" customWidth="1"/>
    <x:col min="20" max="20" width="11.170000076293945" hidden="0" customWidth="1"/>
    <x:col min="21" max="21" width="8.710000038146973" hidden="0" customWidth="1"/>
    <x:col min="22" max="22" width="11.170000076293945" hidden="0" customWidth="1"/>
    <x:col min="23" max="23" width="11.170000076293945" hidden="0" customWidth="1"/>
    <x:col min="24" max="24" width="13.130000114440918" hidden="0" customWidth="1"/>
    <x:col min="25" max="25" width="13.130000114440918" hidden="0" customWidth="1"/>
    <x:col min="26" max="26" width="13.130000114440918" hidden="0" customWidth="1"/>
  </x:cols>
  <x:sheetData>
    <x:row r="1">
      <x:c r="A1" s="53" t="str">
        <x:v>Annual Budget Overview</x:v>
      </x:c>
      <x:c r="B1" s="53" t="str">
        <x:v>Annual Budget Overview</x:v>
      </x:c>
      <x:c r="C1" s="53" t="str">
        <x:v>Annual Budget Overview</x:v>
      </x:c>
      <x:c r="D1" s="53" t="str">
        <x:v>Annual Budget Overview</x:v>
      </x:c>
      <x:c r="E1" s="53" t="str">
        <x:v>Annual Budget Overview</x:v>
      </x:c>
      <x:c r="F1" s="53" t="str">
        <x:v>Annual Budget Overview</x:v>
      </x:c>
      <x:c r="G1" s="53" t="str">
        <x:v>Annual Budget Overview</x:v>
      </x:c>
      <x:c r="H1" s="53" t="str">
        <x:v>Annual Budget Overview</x:v>
      </x:c>
      <x:c r="I1" s="53" t="str">
        <x:v>Annual Budget Overview</x:v>
      </x:c>
      <x:c r="J1" s="53" t="str">
        <x:v>Annual Budget Overview</x:v>
      </x:c>
      <x:c r="K1" s="53" t="str">
        <x:v>Annual Budget Overview</x:v>
      </x:c>
    </x:row>
    <x:row r="3">
      <x:c r="A3" s="25" t="str">
        <x:v>Allocation Settings</x:v>
      </x:c>
      <x:c r="B3" s="25" t="str">
        <x:v>Allocation Settings</x:v>
      </x:c>
      <x:c r="C3" s="25" t="str">
        <x:v>Allocation Settings</x:v>
      </x:c>
      <x:c r="E3" s="12" t="str">
        <x:v>Annual Summary</x:v>
      </x:c>
      <x:c r="F3" s="12" t="str">
        <x:v>Annual Summary</x:v>
      </x:c>
      <x:c r="G3" s="12" t="str">
        <x:v>Annual Summary</x:v>
      </x:c>
      <x:c r="H3" s="12" t="str">
        <x:v>Annual Summary</x:v>
      </x:c>
      <x:c r="U3" s="43" t="str">
        <x:v>Month</x:v>
      </x:c>
      <x:c r="V3" s="43" t="str">
        <x:v>Income</x:v>
      </x:c>
      <x:c r="W3" s="43" t="str">
        <x:v>Expenses</x:v>
      </x:c>
      <x:c r="X3" s="43" t="str">
        <x:v>3-mo avg income</x:v>
      </x:c>
      <x:c r="Y3" s="43" t="str">
        <x:v>3-mo avg expenses</x:v>
      </x:c>
      <x:c r="Z3" s="43" t="str">
        <x:v>Expense change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E4" s="55" t="str">
        <x:v>Total annual income</x:v>
      </x:c>
      <x:c r="F4" s="69" t="n">
        <x:f>B30</x:f>
        <x:v>0</x:v>
      </x:c>
      <x:c r="U4" s="71" t="str">
        <x:v>Jan</x:v>
      </x:c>
      <x:c r="V4" s="86" t="n">
        <x:f>B18</x:f>
        <x:v>0</x:v>
      </x:c>
      <x:c r="W4" s="86" t="n">
        <x:f>C18</x:f>
        <x:v>0</x:v>
      </x:c>
      <x:c r="X4" s="86" t="n">
        <x:f>AVERAGE(V4:V4)</x:f>
        <x:v>0</x:v>
      </x:c>
      <x:c r="Y4" s="86" t="n">
        <x:f>AVERAGE(W4:W4)</x:f>
        <x:v>0</x:v>
      </x:c>
      <x:c r="Z4" s="86" t="n">
        <x:f>0</x:f>
        <x:v>0</x:v>
      </x:c>
    </x:row>
    <x:row r="5">
      <x:c r="A5" s="55" t="str">
        <x:v>TFSA / House %</x:v>
      </x:c>
      <x:c r="B5" s="64" t="n">
        <x:v>0.5</x:v>
      </x:c>
      <x:c r="C5" s="67" t="n">
        <x:f>IF(SUM($B$5:$B$10)&gt;1,IF(B5&lt;&gt;"",B5/SUM($B$5:$B$10),0),IF(B5&lt;&gt;"",MIN(MAX(B5,0),1),IF(COUNTBLANK($B$5:$B$10)&gt;0,MAX(1-SUM($B$5:$B$10),0)/COUNTBLANK($B$5:$B$10),0)))</x:f>
        <x:v>0.5</x:v>
      </x:c>
      <x:c r="E5" s="55" t="str">
        <x:v>Total annual expenses</x:v>
      </x:c>
      <x:c r="F5" s="69" t="n">
        <x:f>C30</x:f>
        <x:v>0</x:v>
      </x:c>
      <x:c r="U5" s="71" t="str">
        <x:v>Feb</x:v>
      </x:c>
      <x:c r="V5" s="86" t="n">
        <x:f>B19</x:f>
        <x:v>0</x:v>
      </x:c>
      <x:c r="W5" s="86" t="n">
        <x:f>C19</x:f>
        <x:v>0</x:v>
      </x:c>
      <x:c r="X5" s="86" t="n">
        <x:f>AVERAGE(V4:V5)</x:f>
        <x:v>0</x:v>
      </x:c>
      <x:c r="Y5" s="86" t="n">
        <x:f>AVERAGE(W4:W5)</x:f>
        <x:v>0</x:v>
      </x:c>
      <x:c r="Z5" s="86" t="n">
        <x:f>W5-W4</x:f>
        <x:v>0</x:v>
      </x:c>
    </x:row>
    <x:row r="6">
      <x:c r="A6" s="55" t="str">
        <x:v>Emergency fund %</x:v>
      </x:c>
      <x:c r="B6" s="64"/>
      <x:c r="C6" s="67" t="n">
        <x:f>IF(SUM($B$5:$B$10)&gt;1,IF(B6&lt;&gt;"",B6/SUM($B$5:$B$10),0),IF(B6&lt;&gt;"",MIN(MAX(B6,0),1),IF(COUNTBLANK($B$5:$B$10)&gt;0,MAX(1-SUM($B$5:$B$10),0)/COUNTBLANK($B$5:$B$10),0)))</x:f>
        <x:v>0.1</x:v>
      </x:c>
      <x:c r="E6" s="55" t="str">
        <x:v>Net before allocations</x:v>
      </x:c>
      <x:c r="F6" s="69" t="n">
        <x:f>D30</x:f>
        <x:v>0</x:v>
      </x:c>
      <x:c r="U6" s="71" t="str">
        <x:v>Mar</x:v>
      </x:c>
      <x:c r="V6" s="86" t="n">
        <x:f>B20</x:f>
        <x:v>0</x:v>
      </x:c>
      <x:c r="W6" s="86" t="n">
        <x:f>C20</x:f>
        <x:v>0</x:v>
      </x:c>
      <x:c r="X6" s="86" t="n">
        <x:f>AVERAGE(V4:V6)</x:f>
        <x:v>0</x:v>
      </x:c>
      <x:c r="Y6" s="86" t="n">
        <x:f>AVERAGE(W4:W6)</x:f>
        <x:v>0</x:v>
      </x:c>
      <x:c r="Z6" s="86" t="n">
        <x:f>W6-W5</x:f>
        <x:v>0</x:v>
      </x:c>
    </x:row>
    <x:row r="7">
      <x:c r="A7" s="55" t="str">
        <x:v>Other investments %</x:v>
      </x:c>
      <x:c r="B7" s="64"/>
      <x:c r="C7" s="67" t="n">
        <x:f>IF(SUM($B$5:$B$10)&gt;1,IF(B7&lt;&gt;"",B7/SUM($B$5:$B$10),0),IF(B7&lt;&gt;"",MIN(MAX(B7,0),1),IF(COUNTBLANK($B$5:$B$10)&gt;0,MAX(1-SUM($B$5:$B$10),0)/COUNTBLANK($B$5:$B$10),0)))</x:f>
        <x:v>0.1</x:v>
      </x:c>
      <x:c r="E7" s="55" t="str">
        <x:v>TFSA / House allocation</x:v>
      </x:c>
      <x:c r="F7" s="69" t="n">
        <x:f>E30</x:f>
        <x:v>0</x:v>
      </x:c>
      <x:c r="U7" s="71" t="str">
        <x:v>Apr</x:v>
      </x:c>
      <x:c r="V7" s="86" t="n">
        <x:f>B21</x:f>
        <x:v>0</x:v>
      </x:c>
      <x:c r="W7" s="86" t="n">
        <x:f>C21</x:f>
        <x:v>0</x:v>
      </x:c>
      <x:c r="X7" s="86" t="n">
        <x:f>AVERAGE(V5:V7)</x:f>
        <x:v>0</x:v>
      </x:c>
      <x:c r="Y7" s="86" t="n">
        <x:f>AVERAGE(W5:W7)</x:f>
        <x:v>0</x:v>
      </x:c>
      <x:c r="Z7" s="86" t="n">
        <x:f>W7-W6</x:f>
        <x:v>0</x:v>
      </x:c>
    </x:row>
    <x:row r="8">
      <x:c r="A8" s="55" t="str">
        <x:v>Debt payoff %</x:v>
      </x:c>
      <x:c r="B8" s="64"/>
      <x:c r="C8" s="67" t="n">
        <x:f>IF(SUM($B$5:$B$10)&gt;1,IF(B8&lt;&gt;"",B8/SUM($B$5:$B$10),0),IF(B8&lt;&gt;"",MIN(MAX(B8,0),1),IF(COUNTBLANK($B$5:$B$10)&gt;0,MAX(1-SUM($B$5:$B$10),0)/COUNTBLANK($B$5:$B$10),0)))</x:f>
        <x:v>0.1</x:v>
      </x:c>
      <x:c r="E8" s="55" t="str">
        <x:v>Emergency fund allocation</x:v>
      </x:c>
      <x:c r="F8" s="69" t="n">
        <x:f>F30</x:f>
        <x:v>0</x:v>
      </x:c>
      <x:c r="U8" s="71" t="str">
        <x:v>May</x:v>
      </x:c>
      <x:c r="V8" s="86" t="n">
        <x:f>B22</x:f>
        <x:v>0</x:v>
      </x:c>
      <x:c r="W8" s="86" t="n">
        <x:f>C22</x:f>
        <x:v>0</x:v>
      </x:c>
      <x:c r="X8" s="86" t="n">
        <x:f>AVERAGE(V6:V8)</x:f>
        <x:v>0</x:v>
      </x:c>
      <x:c r="Y8" s="86" t="n">
        <x:f>AVERAGE(W6:W8)</x:f>
        <x:v>0</x:v>
      </x:c>
      <x:c r="Z8" s="86" t="n">
        <x:f>W8-W7</x:f>
        <x:v>0</x:v>
      </x:c>
    </x:row>
    <x:row r="9">
      <x:c r="A9" s="55" t="str">
        <x:v>Household reserve %</x:v>
      </x:c>
      <x:c r="B9" s="64"/>
      <x:c r="C9" s="67" t="n">
        <x:f>IF(SUM($B$5:$B$10)&gt;1,IF(B9&lt;&gt;"",B9/SUM($B$5:$B$10),0),IF(B9&lt;&gt;"",MIN(MAX(B9,0),1),IF(COUNTBLANK($B$5:$B$10)&gt;0,MAX(1-SUM($B$5:$B$10),0)/COUNTBLANK($B$5:$B$10),0)))</x:f>
        <x:v>0.1</x:v>
      </x:c>
      <x:c r="E9" s="55" t="str">
        <x:v>Other investments allocation</x:v>
      </x:c>
      <x:c r="F9" s="69" t="n">
        <x:f>G30</x:f>
        <x:v>0</x:v>
      </x:c>
      <x:c r="U9" s="71" t="str">
        <x:v>Jun</x:v>
      </x:c>
      <x:c r="V9" s="86" t="n">
        <x:f>B23</x:f>
        <x:v>0</x:v>
      </x:c>
      <x:c r="W9" s="86" t="n">
        <x:f>C23</x:f>
        <x:v>0</x:v>
      </x:c>
      <x:c r="X9" s="86" t="n">
        <x:f>AVERAGE(V7:V9)</x:f>
        <x:v>0</x:v>
      </x:c>
      <x:c r="Y9" s="86" t="n">
        <x:f>AVERAGE(W7:W9)</x:f>
        <x:v>0</x:v>
      </x:c>
      <x:c r="Z9" s="86" t="n">
        <x:f>W9-W8</x:f>
        <x:v>0</x:v>
      </x:c>
    </x:row>
    <x:row r="10">
      <x:c r="A10" s="55" t="str">
        <x:v>Travel/Gifts fund %</x:v>
      </x:c>
      <x:c r="B10" s="64"/>
      <x:c r="C10" s="67" t="n">
        <x:f>IF(SUM($B$5:$B$10)&gt;1,IF(B10&lt;&gt;"",B10/SUM($B$5:$B$10),0),IF(B10&lt;&gt;"",MIN(MAX(B10,0),1),IF(COUNTBLANK($B$5:$B$10)&gt;0,MAX(1-SUM($B$5:$B$10),0)/COUNTBLANK($B$5:$B$10),0)))</x:f>
        <x:v>0.1</x:v>
      </x:c>
      <x:c r="E10" s="55" t="str">
        <x:v>Debt payoff allocation</x:v>
      </x:c>
      <x:c r="F10" s="69" t="n">
        <x:f>H30</x:f>
        <x:v>0</x:v>
      </x:c>
      <x:c r="U10" s="71" t="str">
        <x:v>Jul</x:v>
      </x:c>
      <x:c r="V10" s="86" t="n">
        <x:f>B24</x:f>
        <x:v>0</x:v>
      </x:c>
      <x:c r="W10" s="86" t="n">
        <x:f>C24</x:f>
        <x:v>0</x:v>
      </x:c>
      <x:c r="X10" s="86" t="n">
        <x:f>AVERAGE(V8:V10)</x:f>
        <x:v>0</x:v>
      </x:c>
      <x:c r="Y10" s="86" t="n">
        <x:f>AVERAGE(W8:W10)</x:f>
        <x:v>0</x:v>
      </x:c>
      <x:c r="Z10" s="86" t="n">
        <x:f>W10-W9</x:f>
        <x:v>0</x:v>
      </x:c>
    </x:row>
    <x:row r="11">
      <x:c r="A11" s="55" t="str">
        <x:v>Effective allocation total %</x:v>
      </x:c>
      <x:c r="B11" s="66"/>
      <x:c r="C11" s="66" t="n">
        <x:f>SUM(C5:C10)</x:f>
        <x:v>0.9999999999999999</x:v>
      </x:c>
      <x:c r="E11" s="55" t="str">
        <x:v>Household reserve allocation</x:v>
      </x:c>
      <x:c r="F11" s="69" t="n">
        <x:f>I30</x:f>
        <x:v>0</x:v>
      </x:c>
      <x:c r="U11" s="71" t="str">
        <x:v>Aug</x:v>
      </x:c>
      <x:c r="V11" s="86" t="n">
        <x:f>B25</x:f>
        <x:v>0</x:v>
      </x:c>
      <x:c r="W11" s="86" t="n">
        <x:f>C25</x:f>
        <x:v>0</x:v>
      </x:c>
      <x:c r="X11" s="86" t="n">
        <x:f>AVERAGE(V9:V11)</x:f>
        <x:v>0</x:v>
      </x:c>
      <x:c r="Y11" s="86" t="n">
        <x:f>AVERAGE(W9:W11)</x:f>
        <x:v>0</x:v>
      </x:c>
      <x:c r="Z11" s="86" t="n">
        <x:f>W11-W10</x:f>
        <x:v>0</x:v>
      </x:c>
    </x:row>
    <x:row r="12">
      <x:c r="A12" s="55" t="str">
        <x:v>Remaining unallocated %</x:v>
      </x:c>
      <x:c r="B12" s="66"/>
      <x:c r="C12" s="66" t="n">
        <x:f>MAX(1-C11,0)</x:f>
        <x:v>1.1102230246251565e-16</x:v>
      </x:c>
      <x:c r="E12" s="55" t="str">
        <x:v>Travel/Gifts fund allocation</x:v>
      </x:c>
      <x:c r="F12" s="69" t="n">
        <x:f>J30</x:f>
        <x:v>0</x:v>
      </x:c>
      <x:c r="U12" s="71" t="str">
        <x:v>Sep</x:v>
      </x:c>
      <x:c r="V12" s="86" t="n">
        <x:f>B26</x:f>
        <x:v>0</x:v>
      </x:c>
      <x:c r="W12" s="86" t="n">
        <x:f>C26</x:f>
        <x:v>0</x:v>
      </x:c>
      <x:c r="X12" s="86" t="n">
        <x:f>AVERAGE(V10:V12)</x:f>
        <x:v>0</x:v>
      </x:c>
      <x:c r="Y12" s="86" t="n">
        <x:f>AVERAGE(W10:W12)</x:f>
        <x:v>0</x:v>
      </x:c>
      <x:c r="Z12" s="86" t="n">
        <x:f>W12-W11</x:f>
        <x:v>0</x:v>
      </x:c>
    </x:row>
    <x:row r="13">
      <x:c r="E13" s="55" t="str">
        <x:v>Total allocations</x:v>
      </x:c>
      <x:c r="F13" s="69" t="n">
        <x:f>SUM(F7:F12)</x:f>
        <x:v>0</x:v>
      </x:c>
      <x:c r="U13" s="71" t="str">
        <x:v>Oct</x:v>
      </x:c>
      <x:c r="V13" s="86" t="n">
        <x:f>B27</x:f>
        <x:v>0</x:v>
      </x:c>
      <x:c r="W13" s="86" t="n">
        <x:f>C27</x:f>
        <x:v>0</x:v>
      </x:c>
      <x:c r="X13" s="86" t="n">
        <x:f>AVERAGE(V11:V13)</x:f>
        <x:v>0</x:v>
      </x:c>
      <x:c r="Y13" s="86" t="n">
        <x:f>AVERAGE(W11:W13)</x:f>
        <x:v>0</x:v>
      </x:c>
      <x:c r="Z13" s="86" t="n">
        <x:f>W13-W12</x:f>
        <x:v>0</x:v>
      </x:c>
    </x:row>
    <x:row r="14">
      <x:c r="A14" s="12" t="str">
        <x:v>Allocation Timing</x:v>
      </x:c>
      <x:c r="B14" s="12" t="str">
        <x:v>Allocation Timing</x:v>
      </x:c>
      <x:c r="C14" s="12" t="str">
        <x:v>Allocation Timing</x:v>
      </x:c>
      <x:c r="E14" s="55" t="str">
        <x:v>Net after allocations</x:v>
      </x:c>
      <x:c r="F14" s="69" t="n">
        <x:f>K30</x:f>
        <x:v>0</x:v>
      </x:c>
      <x:c r="U14" s="71" t="str">
        <x:v>Nov</x:v>
      </x:c>
      <x:c r="V14" s="86" t="n">
        <x:f>B28</x:f>
        <x:v>0</x:v>
      </x:c>
      <x:c r="W14" s="86" t="n">
        <x:f>C28</x:f>
        <x:v>0</x:v>
      </x:c>
      <x:c r="X14" s="86" t="n">
        <x:f>AVERAGE(V12:V14)</x:f>
        <x:v>0</x:v>
      </x:c>
      <x:c r="Y14" s="86" t="n">
        <x:f>AVERAGE(W12:W14)</x:f>
        <x:v>0</x:v>
      </x:c>
      <x:c r="Z14" s="86" t="n">
        <x:f>W14-W13</x:f>
        <x:v>0</x:v>
      </x:c>
    </x:row>
    <x:row r="15">
      <x:c r="A15" s="55" t="str">
        <x:v>Weekly allocation mode</x:v>
      </x:c>
      <x:c r="B15" s="68" t="str">
        <x:v>Month-to-date smoothing</x:v>
      </x:c>
      <x:c r="U15" s="71" t="str">
        <x:v>Dec</x:v>
      </x:c>
      <x:c r="V15" s="86" t="n">
        <x:f>B29</x:f>
        <x:v>0</x:v>
      </x:c>
      <x:c r="W15" s="86" t="n">
        <x:f>C29</x:f>
        <x:v>0</x:v>
      </x:c>
      <x:c r="X15" s="86" t="n">
        <x:f>AVERAGE(V13:V15)</x:f>
        <x:v>0</x:v>
      </x:c>
      <x:c r="Y15" s="86" t="n">
        <x:f>AVERAGE(W13:W15)</x:f>
        <x:v>0</x:v>
      </x:c>
      <x:c r="Z15" s="86" t="n">
        <x:f>W15-W14</x:f>
        <x:v>0</x:v>
      </x:c>
    </x:row>
    <x:row r="16">
      <x:c r="A16" s="12" t="str">
        <x:v>Monthly Rollup</x:v>
      </x:c>
      <x:c r="B16" s="12" t="str">
        <x:v>Monthly Rollup</x:v>
      </x:c>
      <x:c r="C16" s="12" t="str">
        <x:v>Monthly Rollup</x:v>
      </x:c>
      <x:c r="D16" s="12" t="str">
        <x:v>Monthly Rollup</x:v>
      </x:c>
      <x:c r="E16" s="12" t="str">
        <x:v>Monthly Rollup</x:v>
      </x:c>
      <x:c r="F16" s="12" t="str">
        <x:v>Monthly Rollup</x:v>
      </x:c>
      <x:c r="G16" s="12" t="str">
        <x:v>Monthly Rollup</x:v>
      </x:c>
      <x:c r="H16" s="12" t="str">
        <x:v>Monthly Rollup</x:v>
      </x:c>
      <x:c r="I16" s="12" t="str">
        <x:v>Monthly Rollup</x:v>
      </x:c>
      <x:c r="J16" s="12" t="str">
        <x:v>Monthly Rollup</x:v>
      </x:c>
      <x:c r="K16" s="12" t="str">
        <x:v>Monthly Rollup</x:v>
      </x:c>
    </x:row>
    <x:row r="17">
      <x:c r="A17" s="43" t="str">
        <x:v>Month</x:v>
      </x:c>
      <x:c r="B17" s="43" t="str">
        <x:v>Income</x:v>
      </x:c>
      <x:c r="C17" s="43" t="str">
        <x:v>Expenses</x:v>
      </x:c>
      <x:c r="D17" s="43" t="str">
        <x:v>Net before allocations</x:v>
      </x:c>
      <x:c r="E17" s="43" t="str">
        <x:v>TFSA / House</x:v>
      </x:c>
      <x:c r="F17" s="43" t="str">
        <x:v>Emergency fund</x:v>
      </x:c>
      <x:c r="G17" s="43" t="str">
        <x:v>Investments</x:v>
      </x:c>
      <x:c r="H17" s="43" t="str">
        <x:v>Debt payoff</x:v>
      </x:c>
      <x:c r="I17" s="43" t="str">
        <x:v>Household reserve</x:v>
      </x:c>
      <x:c r="J17" s="43" t="str">
        <x:v>Travel/Gifts fund</x:v>
      </x:c>
      <x:c r="K17" s="43" t="str">
        <x:v>Net after allocations</x:v>
      </x:c>
    </x:row>
    <x:row r="18">
      <x:c r="A18" s="71" t="str">
        <x:v>January</x:v>
      </x:c>
      <x:c r="B18" s="75" t="n">
        <x:f>'January'!$B$59</x:f>
        <x:v>0</x:v>
      </x:c>
      <x:c r="C18" s="75" t="n">
        <x:f>'January'!$B$60</x:f>
        <x:v>0</x:v>
      </x:c>
      <x:c r="D18" s="75" t="n">
        <x:f>'January'!$B$61</x:f>
        <x:v>0</x:v>
      </x:c>
      <x:c r="E18" s="75" t="n">
        <x:f>'January'!$B$62</x:f>
        <x:v>0</x:v>
      </x:c>
      <x:c r="F18" s="75" t="n">
        <x:f>'January'!$B$63</x:f>
        <x:v>0</x:v>
      </x:c>
      <x:c r="G18" s="75" t="n">
        <x:f>'January'!$B$64</x:f>
        <x:v>0</x:v>
      </x:c>
      <x:c r="H18" s="75" t="n">
        <x:f>'January'!$B$65</x:f>
        <x:v>0</x:v>
      </x:c>
      <x:c r="I18" s="75" t="n">
        <x:f>'January'!$B$66</x:f>
        <x:v>0</x:v>
      </x:c>
      <x:c r="J18" s="75" t="n">
        <x:f>'January'!$B$67</x:f>
        <x:v>0</x:v>
      </x:c>
      <x:c r="K18" s="75" t="n">
        <x:f>'January'!$B$69</x:f>
        <x:v>0</x:v>
      </x:c>
      <x:c r="M18" s="12" t="str">
        <x:v>Allocation Mix</x:v>
      </x:c>
      <x:c r="N18" s="12" t="str">
        <x:v>Allocation Mix</x:v>
      </x:c>
    </x:row>
    <x:row r="19">
      <x:c r="A19" s="71" t="str">
        <x:v>February</x:v>
      </x:c>
      <x:c r="B19" s="75" t="n">
        <x:f>'February'!$B$59</x:f>
        <x:v>0</x:v>
      </x:c>
      <x:c r="C19" s="75" t="n">
        <x:f>'February'!$B$60</x:f>
        <x:v>0</x:v>
      </x:c>
      <x:c r="D19" s="75" t="n">
        <x:f>'February'!$B$61</x:f>
        <x:v>0</x:v>
      </x:c>
      <x:c r="E19" s="75" t="n">
        <x:f>'February'!$B$62</x:f>
        <x:v>0</x:v>
      </x:c>
      <x:c r="F19" s="75" t="n">
        <x:f>'February'!$B$63</x:f>
        <x:v>0</x:v>
      </x:c>
      <x:c r="G19" s="75" t="n">
        <x:f>'February'!$B$64</x:f>
        <x:v>0</x:v>
      </x:c>
      <x:c r="H19" s="75" t="n">
        <x:f>'February'!$B$65</x:f>
        <x:v>0</x:v>
      </x:c>
      <x:c r="I19" s="75" t="n">
        <x:f>'February'!$B$66</x:f>
        <x:v>0</x:v>
      </x:c>
      <x:c r="J19" s="75" t="n">
        <x:f>'February'!$B$67</x:f>
        <x:v>0</x:v>
      </x:c>
      <x:c r="K19" s="75" t="n">
        <x:f>'February'!$B$69</x:f>
        <x:v>0</x:v>
      </x:c>
      <x:c r="M19" s="71" t="str">
        <x:v>TFSA / House</x:v>
      </x:c>
      <x:c r="N19" s="86" t="n">
        <x:f>E30</x:f>
        <x:v>0</x:v>
      </x:c>
    </x:row>
    <x:row r="20">
      <x:c r="A20" s="71" t="str">
        <x:v>March</x:v>
      </x:c>
      <x:c r="B20" s="75" t="n">
        <x:f>'March'!$B$59</x:f>
        <x:v>0</x:v>
      </x:c>
      <x:c r="C20" s="75" t="n">
        <x:f>'March'!$B$60</x:f>
        <x:v>0</x:v>
      </x:c>
      <x:c r="D20" s="75" t="n">
        <x:f>'March'!$B$61</x:f>
        <x:v>0</x:v>
      </x:c>
      <x:c r="E20" s="75" t="n">
        <x:f>'March'!$B$62</x:f>
        <x:v>0</x:v>
      </x:c>
      <x:c r="F20" s="75" t="n">
        <x:f>'March'!$B$63</x:f>
        <x:v>0</x:v>
      </x:c>
      <x:c r="G20" s="75" t="n">
        <x:f>'March'!$B$64</x:f>
        <x:v>0</x:v>
      </x:c>
      <x:c r="H20" s="75" t="n">
        <x:f>'March'!$B$65</x:f>
        <x:v>0</x:v>
      </x:c>
      <x:c r="I20" s="75" t="n">
        <x:f>'March'!$B$66</x:f>
        <x:v>0</x:v>
      </x:c>
      <x:c r="J20" s="75" t="n">
        <x:f>'March'!$B$67</x:f>
        <x:v>0</x:v>
      </x:c>
      <x:c r="K20" s="75" t="n">
        <x:f>'March'!$B$69</x:f>
        <x:v>0</x:v>
      </x:c>
      <x:c r="M20" s="71" t="str">
        <x:v>Emergency fund</x:v>
      </x:c>
      <x:c r="N20" s="86" t="n">
        <x:f>F30</x:f>
        <x:v>0</x:v>
      </x:c>
    </x:row>
    <x:row r="21">
      <x:c r="A21" s="71" t="str">
        <x:v>April</x:v>
      </x:c>
      <x:c r="B21" s="75" t="n">
        <x:f>'April'!$B$59</x:f>
        <x:v>0</x:v>
      </x:c>
      <x:c r="C21" s="75" t="n">
        <x:f>'April'!$B$60</x:f>
        <x:v>0</x:v>
      </x:c>
      <x:c r="D21" s="75" t="n">
        <x:f>'April'!$B$61</x:f>
        <x:v>0</x:v>
      </x:c>
      <x:c r="E21" s="75" t="n">
        <x:f>'April'!$B$62</x:f>
        <x:v>0</x:v>
      </x:c>
      <x:c r="F21" s="75" t="n">
        <x:f>'April'!$B$63</x:f>
        <x:v>0</x:v>
      </x:c>
      <x:c r="G21" s="75" t="n">
        <x:f>'April'!$B$64</x:f>
        <x:v>0</x:v>
      </x:c>
      <x:c r="H21" s="75" t="n">
        <x:f>'April'!$B$65</x:f>
        <x:v>0</x:v>
      </x:c>
      <x:c r="I21" s="75" t="n">
        <x:f>'April'!$B$66</x:f>
        <x:v>0</x:v>
      </x:c>
      <x:c r="J21" s="75" t="n">
        <x:f>'April'!$B$67</x:f>
        <x:v>0</x:v>
      </x:c>
      <x:c r="K21" s="75" t="n">
        <x:f>'April'!$B$69</x:f>
        <x:v>0</x:v>
      </x:c>
      <x:c r="M21" s="71" t="str">
        <x:v>Other investments</x:v>
      </x:c>
      <x:c r="N21" s="86" t="n">
        <x:f>G30</x:f>
        <x:v>0</x:v>
      </x:c>
    </x:row>
    <x:row r="22">
      <x:c r="A22" s="71" t="str">
        <x:v>May</x:v>
      </x:c>
      <x:c r="B22" s="75" t="n">
        <x:f>'May'!$B$59</x:f>
        <x:v>0</x:v>
      </x:c>
      <x:c r="C22" s="75" t="n">
        <x:f>'May'!$B$60</x:f>
        <x:v>0</x:v>
      </x:c>
      <x:c r="D22" s="75" t="n">
        <x:f>'May'!$B$61</x:f>
        <x:v>0</x:v>
      </x:c>
      <x:c r="E22" s="75" t="n">
        <x:f>'May'!$B$62</x:f>
        <x:v>0</x:v>
      </x:c>
      <x:c r="F22" s="75" t="n">
        <x:f>'May'!$B$63</x:f>
        <x:v>0</x:v>
      </x:c>
      <x:c r="G22" s="75" t="n">
        <x:f>'May'!$B$64</x:f>
        <x:v>0</x:v>
      </x:c>
      <x:c r="H22" s="75" t="n">
        <x:f>'May'!$B$65</x:f>
        <x:v>0</x:v>
      </x:c>
      <x:c r="I22" s="75" t="n">
        <x:f>'May'!$B$66</x:f>
        <x:v>0</x:v>
      </x:c>
      <x:c r="J22" s="75" t="n">
        <x:f>'May'!$B$67</x:f>
        <x:v>0</x:v>
      </x:c>
      <x:c r="K22" s="75" t="n">
        <x:f>'May'!$B$69</x:f>
        <x:v>0</x:v>
      </x:c>
      <x:c r="M22" s="71" t="str">
        <x:v>Debt payoff</x:v>
      </x:c>
      <x:c r="N22" s="86" t="n">
        <x:f>H30</x:f>
        <x:v>0</x:v>
      </x:c>
    </x:row>
    <x:row r="23">
      <x:c r="A23" s="71" t="str">
        <x:v>June</x:v>
      </x:c>
      <x:c r="B23" s="75" t="n">
        <x:f>'June'!$B$59</x:f>
        <x:v>0</x:v>
      </x:c>
      <x:c r="C23" s="75" t="n">
        <x:f>'June'!$B$60</x:f>
        <x:v>0</x:v>
      </x:c>
      <x:c r="D23" s="75" t="n">
        <x:f>'June'!$B$61</x:f>
        <x:v>0</x:v>
      </x:c>
      <x:c r="E23" s="75" t="n">
        <x:f>'June'!$B$62</x:f>
        <x:v>0</x:v>
      </x:c>
      <x:c r="F23" s="75" t="n">
        <x:f>'June'!$B$63</x:f>
        <x:v>0</x:v>
      </x:c>
      <x:c r="G23" s="75" t="n">
        <x:f>'June'!$B$64</x:f>
        <x:v>0</x:v>
      </x:c>
      <x:c r="H23" s="75" t="n">
        <x:f>'June'!$B$65</x:f>
        <x:v>0</x:v>
      </x:c>
      <x:c r="I23" s="75" t="n">
        <x:f>'June'!$B$66</x:f>
        <x:v>0</x:v>
      </x:c>
      <x:c r="J23" s="75" t="n">
        <x:f>'June'!$B$67</x:f>
        <x:v>0</x:v>
      </x:c>
      <x:c r="K23" s="75" t="n">
        <x:f>'June'!$B$69</x:f>
        <x:v>0</x:v>
      </x:c>
      <x:c r="M23" s="71" t="str">
        <x:v>Household reserve</x:v>
      </x:c>
      <x:c r="N23" s="86" t="n">
        <x:f>I30</x:f>
        <x:v>0</x:v>
      </x:c>
    </x:row>
    <x:row r="24">
      <x:c r="A24" s="71" t="str">
        <x:v>July</x:v>
      </x:c>
      <x:c r="B24" s="75" t="n">
        <x:f>'July'!$B$59</x:f>
        <x:v>0</x:v>
      </x:c>
      <x:c r="C24" s="75" t="n">
        <x:f>'July'!$B$60</x:f>
        <x:v>0</x:v>
      </x:c>
      <x:c r="D24" s="75" t="n">
        <x:f>'July'!$B$61</x:f>
        <x:v>0</x:v>
      </x:c>
      <x:c r="E24" s="75" t="n">
        <x:f>'July'!$B$62</x:f>
        <x:v>0</x:v>
      </x:c>
      <x:c r="F24" s="75" t="n">
        <x:f>'July'!$B$63</x:f>
        <x:v>0</x:v>
      </x:c>
      <x:c r="G24" s="75" t="n">
        <x:f>'July'!$B$64</x:f>
        <x:v>0</x:v>
      </x:c>
      <x:c r="H24" s="75" t="n">
        <x:f>'July'!$B$65</x:f>
        <x:v>0</x:v>
      </x:c>
      <x:c r="I24" s="75" t="n">
        <x:f>'July'!$B$66</x:f>
        <x:v>0</x:v>
      </x:c>
      <x:c r="J24" s="75" t="n">
        <x:f>'July'!$B$67</x:f>
        <x:v>0</x:v>
      </x:c>
      <x:c r="K24" s="75" t="n">
        <x:f>'July'!$B$69</x:f>
        <x:v>0</x:v>
      </x:c>
      <x:c r="M24" s="71" t="str">
        <x:v>Travel/Gifts fund</x:v>
      </x:c>
      <x:c r="N24" s="86" t="n">
        <x:f>J30</x:f>
        <x:v>0</x:v>
      </x:c>
    </x:row>
    <x:row r="25">
      <x:c r="A25" s="71" t="str">
        <x:v>August</x:v>
      </x:c>
      <x:c r="B25" s="75" t="n">
        <x:f>'August'!$B$59</x:f>
        <x:v>0</x:v>
      </x:c>
      <x:c r="C25" s="75" t="n">
        <x:f>'August'!$B$60</x:f>
        <x:v>0</x:v>
      </x:c>
      <x:c r="D25" s="75" t="n">
        <x:f>'August'!$B$61</x:f>
        <x:v>0</x:v>
      </x:c>
      <x:c r="E25" s="75" t="n">
        <x:f>'August'!$B$62</x:f>
        <x:v>0</x:v>
      </x:c>
      <x:c r="F25" s="75" t="n">
        <x:f>'August'!$B$63</x:f>
        <x:v>0</x:v>
      </x:c>
      <x:c r="G25" s="75" t="n">
        <x:f>'August'!$B$64</x:f>
        <x:v>0</x:v>
      </x:c>
      <x:c r="H25" s="75" t="n">
        <x:f>'August'!$B$65</x:f>
        <x:v>0</x:v>
      </x:c>
      <x:c r="I25" s="75" t="n">
        <x:f>'August'!$B$66</x:f>
        <x:v>0</x:v>
      </x:c>
      <x:c r="J25" s="75" t="n">
        <x:f>'August'!$B$67</x:f>
        <x:v>0</x:v>
      </x:c>
      <x:c r="K25" s="75" t="n">
        <x:f>'August'!$B$69</x:f>
        <x:v>0</x:v>
      </x:c>
    </x:row>
    <x:row r="26">
      <x:c r="A26" s="71" t="str">
        <x:v>September</x:v>
      </x:c>
      <x:c r="B26" s="75" t="n">
        <x:f>'September'!$B$59</x:f>
        <x:v>0</x:v>
      </x:c>
      <x:c r="C26" s="75" t="n">
        <x:f>'September'!$B$60</x:f>
        <x:v>0</x:v>
      </x:c>
      <x:c r="D26" s="75" t="n">
        <x:f>'September'!$B$61</x:f>
        <x:v>0</x:v>
      </x:c>
      <x:c r="E26" s="75" t="n">
        <x:f>'September'!$B$62</x:f>
        <x:v>0</x:v>
      </x:c>
      <x:c r="F26" s="75" t="n">
        <x:f>'September'!$B$63</x:f>
        <x:v>0</x:v>
      </x:c>
      <x:c r="G26" s="75" t="n">
        <x:f>'September'!$B$64</x:f>
        <x:v>0</x:v>
      </x:c>
      <x:c r="H26" s="75" t="n">
        <x:f>'September'!$B$65</x:f>
        <x:v>0</x:v>
      </x:c>
      <x:c r="I26" s="75" t="n">
        <x:f>'September'!$B$66</x:f>
        <x:v>0</x:v>
      </x:c>
      <x:c r="J26" s="75" t="n">
        <x:f>'September'!$B$67</x:f>
        <x:v>0</x:v>
      </x:c>
      <x:c r="K26" s="75" t="n">
        <x:f>'September'!$B$69</x:f>
        <x:v>0</x:v>
      </x:c>
    </x:row>
    <x:row r="27">
      <x:c r="A27" s="71" t="str">
        <x:v>October</x:v>
      </x:c>
      <x:c r="B27" s="75" t="n">
        <x:f>'October'!$B$59</x:f>
        <x:v>0</x:v>
      </x:c>
      <x:c r="C27" s="75" t="n">
        <x:f>'October'!$B$60</x:f>
        <x:v>0</x:v>
      </x:c>
      <x:c r="D27" s="75" t="n">
        <x:f>'October'!$B$61</x:f>
        <x:v>0</x:v>
      </x:c>
      <x:c r="E27" s="75" t="n">
        <x:f>'October'!$B$62</x:f>
        <x:v>0</x:v>
      </x:c>
      <x:c r="F27" s="75" t="n">
        <x:f>'October'!$B$63</x:f>
        <x:v>0</x:v>
      </x:c>
      <x:c r="G27" s="75" t="n">
        <x:f>'October'!$B$64</x:f>
        <x:v>0</x:v>
      </x:c>
      <x:c r="H27" s="75" t="n">
        <x:f>'October'!$B$65</x:f>
        <x:v>0</x:v>
      </x:c>
      <x:c r="I27" s="75" t="n">
        <x:f>'October'!$B$66</x:f>
        <x:v>0</x:v>
      </x:c>
      <x:c r="J27" s="75" t="n">
        <x:f>'October'!$B$67</x:f>
        <x:v>0</x:v>
      </x:c>
      <x:c r="K27" s="75" t="n">
        <x:f>'October'!$B$69</x:f>
        <x:v>0</x:v>
      </x:c>
    </x:row>
    <x:row r="28">
      <x:c r="A28" s="71" t="str">
        <x:v>November</x:v>
      </x:c>
      <x:c r="B28" s="75" t="n">
        <x:f>'November'!$B$59</x:f>
        <x:v>0</x:v>
      </x:c>
      <x:c r="C28" s="75" t="n">
        <x:f>'November'!$B$60</x:f>
        <x:v>0</x:v>
      </x:c>
      <x:c r="D28" s="75" t="n">
        <x:f>'November'!$B$61</x:f>
        <x:v>0</x:v>
      </x:c>
      <x:c r="E28" s="75" t="n">
        <x:f>'November'!$B$62</x:f>
        <x:v>0</x:v>
      </x:c>
      <x:c r="F28" s="75" t="n">
        <x:f>'November'!$B$63</x:f>
        <x:v>0</x:v>
      </x:c>
      <x:c r="G28" s="75" t="n">
        <x:f>'November'!$B$64</x:f>
        <x:v>0</x:v>
      </x:c>
      <x:c r="H28" s="75" t="n">
        <x:f>'November'!$B$65</x:f>
        <x:v>0</x:v>
      </x:c>
      <x:c r="I28" s="75" t="n">
        <x:f>'November'!$B$66</x:f>
        <x:v>0</x:v>
      </x:c>
      <x:c r="J28" s="75" t="n">
        <x:f>'November'!$B$67</x:f>
        <x:v>0</x:v>
      </x:c>
      <x:c r="K28" s="75" t="n">
        <x:f>'November'!$B$69</x:f>
        <x:v>0</x:v>
      </x:c>
    </x:row>
    <x:row r="29">
      <x:c r="A29" s="71" t="str">
        <x:v>December</x:v>
      </x:c>
      <x:c r="B29" s="75" t="n">
        <x:f>'December'!$B$59</x:f>
        <x:v>0</x:v>
      </x:c>
      <x:c r="C29" s="75" t="n">
        <x:f>'December'!$B$60</x:f>
        <x:v>0</x:v>
      </x:c>
      <x:c r="D29" s="75" t="n">
        <x:f>'December'!$B$61</x:f>
        <x:v>0</x:v>
      </x:c>
      <x:c r="E29" s="75" t="n">
        <x:f>'December'!$B$62</x:f>
        <x:v>0</x:v>
      </x:c>
      <x:c r="F29" s="75" t="n">
        <x:f>'December'!$B$63</x:f>
        <x:v>0</x:v>
      </x:c>
      <x:c r="G29" s="75" t="n">
        <x:f>'December'!$B$64</x:f>
        <x:v>0</x:v>
      </x:c>
      <x:c r="H29" s="75" t="n">
        <x:f>'December'!$B$65</x:f>
        <x:v>0</x:v>
      </x:c>
      <x:c r="I29" s="75" t="n">
        <x:f>'December'!$B$66</x:f>
        <x:v>0</x:v>
      </x:c>
      <x:c r="J29" s="75" t="n">
        <x:f>'December'!$B$67</x:f>
        <x:v>0</x:v>
      </x:c>
      <x:c r="K29" s="75" t="n">
        <x:f>'December'!$B$69</x:f>
        <x:v>0</x:v>
      </x:c>
    </x:row>
    <x:row r="30">
      <x:c r="A30" s="82" t="str">
        <x:v>Annual total</x:v>
      </x:c>
      <x:c r="B30" s="83" t="n">
        <x:f>SUM(B18:B29)</x:f>
        <x:v>0</x:v>
      </x:c>
      <x:c r="C30" s="83" t="n">
        <x:f>SUM(C18:C29)</x:f>
        <x:v>0</x:v>
      </x:c>
      <x:c r="D30" s="83" t="n">
        <x:f>SUM(D18:D29)</x:f>
        <x:v>0</x:v>
      </x:c>
      <x:c r="E30" s="83" t="n">
        <x:f>SUM(E18:E29)</x:f>
        <x:v>0</x:v>
      </x:c>
      <x:c r="F30" s="83" t="n">
        <x:f>SUM(F18:F29)</x:f>
        <x:v>0</x:v>
      </x:c>
      <x:c r="G30" s="83" t="n">
        <x:f>SUM(G18:G29)</x:f>
        <x:v>0</x:v>
      </x:c>
      <x:c r="H30" s="83" t="n">
        <x:f>SUM(H18:H29)</x:f>
        <x:v>0</x:v>
      </x:c>
      <x:c r="I30" s="83" t="n">
        <x:f>SUM(I18:I29)</x:f>
        <x:v>0</x:v>
      </x:c>
      <x:c r="J30" s="83" t="n">
        <x:f>SUM(J18:J29)</x:f>
        <x:v>0</x:v>
      </x:c>
      <x:c r="K30" s="83" t="n">
        <x:f>SUM(K18:K29)</x:f>
        <x:v>0</x:v>
      </x:c>
    </x:row>
    <x:row r="33">
      <x:c r="A33" s="25" t="str">
        <x:v>Annual Category Breakdown</x:v>
      </x:c>
      <x:c r="B33" s="25" t="str">
        <x:v>Annual Category Breakdown</x:v>
      </x:c>
    </x:row>
    <x:row r="34">
      <x:c r="A34" s="71" t="str">
        <x:v>CIBC</x:v>
      </x:c>
      <x:c r="B34" s="86" t="n">
        <x:f>'January'!$E$60+'February'!$E$60+'March'!$E$60+'April'!$E$60+'May'!$E$60+'June'!$E$60+'July'!$E$60+'August'!$E$60+'September'!$E$60+'October'!$E$60+'November'!$E$60+'December'!$E$60</x:f>
        <x:v>0</x:v>
      </x:c>
    </x:row>
    <x:row r="35">
      <x:c r="A35" s="71" t="str">
        <x:v>RBC</x:v>
      </x:c>
      <x:c r="B35" s="86" t="n">
        <x:f>'January'!$E$61+'February'!$E$61+'March'!$E$61+'April'!$E$61+'May'!$E$61+'June'!$E$61+'July'!$E$61+'August'!$E$61+'September'!$E$61+'October'!$E$61+'November'!$E$61+'December'!$E$61</x:f>
        <x:v>0</x:v>
      </x:c>
    </x:row>
    <x:row r="36">
      <x:c r="A36" s="71" t="str">
        <x:v>AMEX</x:v>
      </x:c>
      <x:c r="B36" s="86" t="n">
        <x:f>'January'!$E$62+'February'!$E$62+'March'!$E$62+'April'!$E$62+'May'!$E$62+'June'!$E$62+'July'!$E$62+'August'!$E$62+'September'!$E$62+'October'!$E$62+'November'!$E$62+'December'!$E$62</x:f>
        <x:v>0</x:v>
      </x:c>
      <x:c r="M36" s="35" t="str">
        <x:v>Trend &amp; Spending Focus</x:v>
      </x:c>
      <x:c r="N36" s="35" t="str">
        <x:v>Trend &amp; Spending Focus</x:v>
      </x:c>
      <x:c r="O36" s="35" t="str">
        <x:v>Trend &amp; Spending Focus</x:v>
      </x:c>
      <x:c r="P36" s="35" t="str">
        <x:v>Trend &amp; Spending Focus</x:v>
      </x:c>
      <x:c r="Q36" s="35" t="str">
        <x:v>Trend &amp; Spending Focus</x:v>
      </x:c>
      <x:c r="R36" s="35" t="str">
        <x:v>Trend &amp; Spending Focus</x:v>
      </x:c>
      <x:c r="S36" s="35" t="str">
        <x:v>Trend &amp; Spending Focus</x:v>
      </x:c>
      <x:c r="T36" s="35" t="str">
        <x:v>Trend &amp; Spending Focus</x:v>
      </x:c>
    </x:row>
    <x:row r="37">
      <x:c r="A37" s="71" t="str">
        <x:v>Wealthsimple</x:v>
      </x:c>
      <x:c r="B37" s="86" t="n">
        <x:f>'January'!$E$63+'February'!$E$63+'March'!$E$63+'April'!$E$63+'May'!$E$63+'June'!$E$63+'July'!$E$63+'August'!$E$63+'September'!$E$63+'October'!$E$63+'November'!$E$63+'December'!$E$63</x:f>
        <x:v>0</x:v>
      </x:c>
      <x:c r="M37" s="55" t="str">
        <x:v>Last 3 months avg income</x:v>
      </x:c>
      <x:c r="N37" s="69" t="n">
        <x:f>IFERROR(LOOKUP(2,1/(($V$4:$V$15+$W$4:$W$15)&gt;0),$X$4:$X$15),0)</x:f>
        <x:v>0</x:v>
      </x:c>
    </x:row>
    <x:row r="38">
      <x:c r="A38" s="71" t="str">
        <x:v>Triangle</x:v>
      </x:c>
      <x:c r="B38" s="86" t="n">
        <x:f>'January'!$E$64+'February'!$E$64+'March'!$E$64+'April'!$E$64+'May'!$E$64+'June'!$E$64+'July'!$E$64+'August'!$E$64+'September'!$E$64+'October'!$E$64+'November'!$E$64+'December'!$E$64</x:f>
        <x:v>0</x:v>
      </x:c>
      <x:c r="M38" s="55" t="str">
        <x:v>Last 3 months avg expenses</x:v>
      </x:c>
      <x:c r="N38" s="69" t="n">
        <x:f>IFERROR(LOOKUP(2,1/(($V$4:$V$15+$W$4:$W$15)&gt;0),$Y$4:$Y$15),0)</x:f>
        <x:v>0</x:v>
      </x:c>
    </x:row>
    <x:row r="39">
      <x:c r="A39" s="71" t="str">
        <x:v>Other Credit Cards</x:v>
      </x:c>
      <x:c r="B39" s="86" t="n">
        <x:f>'January'!$E$65+'February'!$E$65+'March'!$E$65+'April'!$E$65+'May'!$E$65+'June'!$E$65+'July'!$E$65+'August'!$E$65+'September'!$E$65+'October'!$E$65+'November'!$E$65+'December'!$E$65</x:f>
        <x:v>0</x:v>
      </x:c>
      <x:c r="M39" s="55" t="str">
        <x:v>Latest expense change</x:v>
      </x:c>
      <x:c r="N39" s="69" t="n">
        <x:f>IFERROR(LOOKUP(2,1/(($V$4:$V$15+$W$4:$W$15)&gt;0),$Z$4:$Z$15),0)</x:f>
        <x:v>0</x:v>
      </x:c>
    </x:row>
    <x:row r="40">
      <x:c r="A40" s="71" t="str">
        <x:v>Food</x:v>
      </x:c>
      <x:c r="B40" s="86" t="n">
        <x:f>'January'!$E$66+'February'!$E$66+'March'!$E$66+'April'!$E$66+'May'!$E$66+'June'!$E$66+'July'!$E$66+'August'!$E$66+'September'!$E$66+'October'!$E$66+'November'!$E$66+'December'!$E$66</x:f>
        <x:v>0</x:v>
      </x:c>
      <x:c r="M40" s="55" t="str">
        <x:v>Expense direction</x:v>
      </x:c>
      <x:c r="N40" s="62" t="str">
        <x:f>IF(N39&lt;0,"Reducing",IF(N39&gt;0,"Increasing","Flat / no change"))</x:f>
        <x:v>Flat / no change</x:v>
      </x:c>
    </x:row>
    <x:row r="41">
      <x:c r="A41" s="71" t="str">
        <x:v>Cars</x:v>
      </x:c>
      <x:c r="B41" s="86" t="n">
        <x:f>'January'!$E$67+'February'!$E$67+'March'!$E$67+'April'!$E$67+'May'!$E$67+'June'!$E$67+'July'!$E$67+'August'!$E$67+'September'!$E$67+'October'!$E$67+'November'!$E$67+'December'!$E$67</x:f>
        <x:v>0</x:v>
      </x:c>
      <x:c r="M41" s="55" t="str">
        <x:v>Biggest annual category</x:v>
      </x:c>
      <x:c r="N41" s="62" t="str">
        <x:f>IF(MAX($B$34:$B$50)=0,"No spending yet",INDEX($A$34:$A$50,MATCH(MAX($B$34:$B$50),$B$34:$B$50,0)))</x:f>
        <x:v>No spending yet</x:v>
      </x:c>
    </x:row>
    <x:row r="42">
      <x:c r="A42" s="71" t="str">
        <x:v>House</x:v>
      </x:c>
      <x:c r="B42" s="86" t="n">
        <x:f>'January'!$E$68+'February'!$E$68+'March'!$E$68+'April'!$E$68+'May'!$E$68+'June'!$E$68+'July'!$E$68+'August'!$E$68+'September'!$E$68+'October'!$E$68+'November'!$E$68+'December'!$E$68</x:f>
        <x:v>0</x:v>
      </x:c>
      <x:c r="M42" s="55" t="str">
        <x:v>Biggest annual amount</x:v>
      </x:c>
      <x:c r="N42" s="69" t="n">
        <x:f>MAX($B$34:$B$50)</x:f>
        <x:v>0</x:v>
      </x:c>
    </x:row>
    <x:row r="43">
      <x:c r="A43" s="71" t="str">
        <x:v>Travel</x:v>
      </x:c>
      <x:c r="B43" s="86" t="n">
        <x:f>'January'!$E$69+'February'!$E$69+'March'!$E$69+'April'!$E$69+'May'!$E$69+'June'!$E$69+'July'!$E$69+'August'!$E$69+'September'!$E$69+'October'!$E$69+'November'!$E$69+'December'!$E$69</x:f>
        <x:v>0</x:v>
      </x:c>
    </x:row>
    <x:row r="44">
      <x:c r="A44" s="71" t="str">
        <x:v>Gift/Education</x:v>
      </x:c>
      <x:c r="B44" s="86" t="n">
        <x:f>'January'!$E$70+'February'!$E$70+'March'!$E$70+'April'!$E$70+'May'!$E$70+'June'!$E$70+'July'!$E$70+'August'!$E$70+'September'!$E$70+'October'!$E$70+'November'!$E$70+'December'!$E$70</x:f>
        <x:v>0</x:v>
      </x:c>
      <x:c r="M44" s="25" t="str">
        <x:v>Top Category By Month</x:v>
      </x:c>
      <x:c r="N44" s="25" t="str">
        <x:v>Top Category By Month</x:v>
      </x:c>
      <x:c r="O44" s="25" t="str">
        <x:v>Top Category By Month</x:v>
      </x:c>
    </x:row>
    <x:row r="45">
      <x:c r="A45" s="87" t="str">
        <x:v>Custom 1</x:v>
      </x:c>
      <x:c r="B45" s="86" t="n">
        <x:f>'January'!$E$71+'February'!$E$71+'March'!$E$71+'April'!$E$71+'May'!$E$71+'June'!$E$71+'July'!$E$71+'August'!$E$71+'September'!$E$71+'October'!$E$71+'November'!$E$71+'December'!$E$71</x:f>
        <x:v>0</x:v>
      </x:c>
      <x:c r="M45" s="43" t="str">
        <x:v>Month</x:v>
      </x:c>
      <x:c r="N45" s="43" t="str">
        <x:v>Top category</x:v>
      </x:c>
      <x:c r="O45" s="43" t="str">
        <x:v>Amount</x:v>
      </x:c>
    </x:row>
    <x:row r="46">
      <x:c r="A46" s="87" t="str">
        <x:v>Custom 2</x:v>
      </x:c>
      <x:c r="B46" s="86" t="n">
        <x:f>'January'!$E$72+'February'!$E$72+'March'!$E$72+'April'!$E$72+'May'!$E$72+'June'!$E$72+'July'!$E$72+'August'!$E$72+'September'!$E$72+'October'!$E$72+'November'!$E$72+'December'!$E$72</x:f>
        <x:v>0</x:v>
      </x:c>
      <x:c r="M46" s="71" t="str">
        <x:v>January</x:v>
      </x:c>
      <x:c r="N46" s="71" t="str">
        <x:f>IF(MAX('January'!$E$60:$E$76)=0,"No spending yet",INDEX('January'!$D$60:$D$76,MATCH(MAX('January'!$E$60:$E$76),'January'!$E$60:$E$76,0)))</x:f>
        <x:v>No spending yet</x:v>
      </x:c>
      <x:c r="O46" s="86" t="n">
        <x:f>MAX('January'!$E$60:$E$76)</x:f>
        <x:v>0</x:v>
      </x:c>
    </x:row>
    <x:row r="47">
      <x:c r="A47" s="87" t="str">
        <x:v>Custom 3</x:v>
      </x:c>
      <x:c r="B47" s="86" t="n">
        <x:f>'January'!$E$73+'February'!$E$73+'March'!$E$73+'April'!$E$73+'May'!$E$73+'June'!$E$73+'July'!$E$73+'August'!$E$73+'September'!$E$73+'October'!$E$73+'November'!$E$73+'December'!$E$73</x:f>
        <x:v>0</x:v>
      </x:c>
      <x:c r="M47" s="71" t="str">
        <x:v>February</x:v>
      </x:c>
      <x:c r="N47" s="71" t="str">
        <x:f>IF(MAX('February'!$E$60:$E$76)=0,"No spending yet",INDEX('February'!$D$60:$D$76,MATCH(MAX('February'!$E$60:$E$76),'February'!$E$60:$E$76,0)))</x:f>
        <x:v>No spending yet</x:v>
      </x:c>
      <x:c r="O47" s="86" t="n">
        <x:f>MAX('February'!$E$60:$E$76)</x:f>
        <x:v>0</x:v>
      </x:c>
    </x:row>
    <x:row r="48">
      <x:c r="A48" s="71" t="str">
        <x:v>Business</x:v>
      </x:c>
      <x:c r="B48" s="86" t="n">
        <x:f>'January'!$E$74+'February'!$E$74+'March'!$E$74+'April'!$E$74+'May'!$E$74+'June'!$E$74+'July'!$E$74+'August'!$E$74+'September'!$E$74+'October'!$E$74+'November'!$E$74+'December'!$E$74</x:f>
        <x:v>0</x:v>
      </x:c>
      <x:c r="M48" s="71" t="str">
        <x:v>March</x:v>
      </x:c>
      <x:c r="N48" s="71" t="str">
        <x:f>IF(MAX('March'!$E$60:$E$76)=0,"No spending yet",INDEX('March'!$D$60:$D$76,MATCH(MAX('March'!$E$60:$E$76),'March'!$E$60:$E$76,0)))</x:f>
        <x:v>No spending yet</x:v>
      </x:c>
      <x:c r="O48" s="86" t="n">
        <x:f>MAX('March'!$E$60:$E$76)</x:f>
        <x:v>0</x:v>
      </x:c>
    </x:row>
    <x:row r="49">
      <x:c r="A49" s="71" t="str">
        <x:v>Monthly Subscription / Utilities</x:v>
      </x:c>
      <x:c r="B49" s="86" t="n">
        <x:f>'January'!$E$75+'February'!$E$75+'March'!$E$75+'April'!$E$75+'May'!$E$75+'June'!$E$75+'July'!$E$75+'August'!$E$75+'September'!$E$75+'October'!$E$75+'November'!$E$75+'December'!$E$75</x:f>
        <x:v>0</x:v>
      </x:c>
      <x:c r="M49" s="71" t="str">
        <x:v>April</x:v>
      </x:c>
      <x:c r="N49" s="71" t="str">
        <x:f>IF(MAX('April'!$E$60:$E$76)=0,"No spending yet",INDEX('April'!$D$60:$D$76,MATCH(MAX('April'!$E$60:$E$76),'April'!$E$60:$E$76,0)))</x:f>
        <x:v>No spending yet</x:v>
      </x:c>
      <x:c r="O49" s="86" t="n">
        <x:f>MAX('April'!$E$60:$E$76)</x:f>
        <x:v>0</x:v>
      </x:c>
    </x:row>
    <x:row r="50">
      <x:c r="A50" s="71" t="str">
        <x:v>Others</x:v>
      </x:c>
      <x:c r="B50" s="86" t="n">
        <x:f>'January'!$E$76+'February'!$E$76+'March'!$E$76+'April'!$E$76+'May'!$E$76+'June'!$E$76+'July'!$E$76+'August'!$E$76+'September'!$E$76+'October'!$E$76+'November'!$E$76+'December'!$E$76</x:f>
        <x:v>0</x:v>
      </x:c>
      <x:c r="M50" s="71" t="str">
        <x:v>May</x:v>
      </x:c>
      <x:c r="N50" s="71" t="str">
        <x:f>IF(MAX('May'!$E$60:$E$76)=0,"No spending yet",INDEX('May'!$D$60:$D$76,MATCH(MAX('May'!$E$60:$E$76),'May'!$E$60:$E$76,0)))</x:f>
        <x:v>No spending yet</x:v>
      </x:c>
      <x:c r="O50" s="86" t="n">
        <x:f>MAX('May'!$E$60:$E$76)</x:f>
        <x:v>0</x:v>
      </x:c>
    </x:row>
    <x:row r="51">
      <x:c r="A51" s="82" t="str">
        <x:v>Credit cards total</x:v>
      </x:c>
      <x:c r="B51" s="83" t="n">
        <x:f>SUM(B34:B39)</x:f>
        <x:v>0</x:v>
      </x:c>
      <x:c r="M51" s="71" t="str">
        <x:v>June</x:v>
      </x:c>
      <x:c r="N51" s="71" t="str">
        <x:f>IF(MAX('June'!$E$60:$E$76)=0,"No spending yet",INDEX('June'!$D$60:$D$76,MATCH(MAX('June'!$E$60:$E$76),'June'!$E$60:$E$76,0)))</x:f>
        <x:v>No spending yet</x:v>
      </x:c>
      <x:c r="O51" s="86" t="n">
        <x:f>MAX('June'!$E$60:$E$76)</x:f>
        <x:v>0</x:v>
      </x:c>
    </x:row>
    <x:row r="52">
      <x:c r="A52" s="82" t="str">
        <x:v>Household spending total</x:v>
      </x:c>
      <x:c r="B52" s="83" t="n">
        <x:f>SUM(B40:B50)</x:f>
        <x:v>0</x:v>
      </x:c>
      <x:c r="M52" s="71" t="str">
        <x:v>July</x:v>
      </x:c>
      <x:c r="N52" s="71" t="str">
        <x:f>IF(MAX('July'!$E$60:$E$76)=0,"No spending yet",INDEX('July'!$D$60:$D$76,MATCH(MAX('July'!$E$60:$E$76),'July'!$E$60:$E$76,0)))</x:f>
        <x:v>No spending yet</x:v>
      </x:c>
      <x:c r="O52" s="86" t="n">
        <x:f>MAX('July'!$E$60:$E$76)</x:f>
        <x:v>0</x:v>
      </x:c>
    </x:row>
    <x:row r="53">
      <x:c r="A53" s="82" t="str">
        <x:v>Total tracked expenses</x:v>
      </x:c>
      <x:c r="B53" s="83" t="n">
        <x:f>SUM(B34:B50)</x:f>
        <x:v>0</x:v>
      </x:c>
      <x:c r="M53" s="71" t="str">
        <x:v>August</x:v>
      </x:c>
      <x:c r="N53" s="71" t="str">
        <x:f>IF(MAX('August'!$E$60:$E$76)=0,"No spending yet",INDEX('August'!$D$60:$D$76,MATCH(MAX('August'!$E$60:$E$76),'August'!$E$60:$E$76,0)))</x:f>
        <x:v>No spending yet</x:v>
      </x:c>
      <x:c r="O53" s="86" t="n">
        <x:f>MAX('August'!$E$60:$E$76)</x:f>
        <x:v>0</x:v>
      </x:c>
    </x:row>
    <x:row r="54">
      <x:c r="M54" s="71" t="str">
        <x:v>September</x:v>
      </x:c>
      <x:c r="N54" s="71" t="str">
        <x:f>IF(MAX('September'!$E$60:$E$76)=0,"No spending yet",INDEX('September'!$D$60:$D$76,MATCH(MAX('September'!$E$60:$E$76),'September'!$E$60:$E$76,0)))</x:f>
        <x:v>No spending yet</x:v>
      </x:c>
      <x:c r="O54" s="86" t="n">
        <x:f>MAX('September'!$E$60:$E$76)</x:f>
        <x:v>0</x:v>
      </x:c>
    </x:row>
    <x:row r="55">
      <x:c r="M55" s="71" t="str">
        <x:v>October</x:v>
      </x:c>
      <x:c r="N55" s="71" t="str">
        <x:f>IF(MAX('October'!$E$60:$E$76)=0,"No spending yet",INDEX('October'!$D$60:$D$76,MATCH(MAX('October'!$E$60:$E$76),'October'!$E$60:$E$76,0)))</x:f>
        <x:v>No spending yet</x:v>
      </x:c>
      <x:c r="O55" s="86" t="n">
        <x:f>MAX('October'!$E$60:$E$76)</x:f>
        <x:v>0</x:v>
      </x:c>
    </x:row>
    <x:row r="56">
      <x:c r="M56" s="71" t="str">
        <x:v>November</x:v>
      </x:c>
      <x:c r="N56" s="71" t="str">
        <x:f>IF(MAX('November'!$E$60:$E$76)=0,"No spending yet",INDEX('November'!$D$60:$D$76,MATCH(MAX('November'!$E$60:$E$76),'November'!$E$60:$E$76,0)))</x:f>
        <x:v>No spending yet</x:v>
      </x:c>
      <x:c r="O56" s="86" t="n">
        <x:f>MAX('November'!$E$60:$E$76)</x:f>
        <x:v>0</x:v>
      </x:c>
    </x:row>
    <x:row r="57">
      <x:c r="M57" s="71" t="str">
        <x:v>December</x:v>
      </x:c>
      <x:c r="N57" s="71" t="str">
        <x:f>IF(MAX('December'!$E$60:$E$76)=0,"No spending yet",INDEX('December'!$D$60:$D$76,MATCH(MAX('December'!$E$60:$E$76),'December'!$E$60:$E$76,0)))</x:f>
        <x:v>No spending yet</x:v>
      </x:c>
      <x:c r="O57" s="86" t="n">
        <x:f>MAX('December'!$E$60:$E$76)</x:f>
        <x:v>0</x:v>
      </x:c>
    </x:row>
  </x:sheetData>
  <x:mergeCells>
    <x:mergeCell ref="A1:K1"/>
    <x:mergeCell ref="A3:C3"/>
    <x:mergeCell ref="A14:C14"/>
    <x:mergeCell ref="E3:H3"/>
    <x:mergeCell ref="A16:K16"/>
    <x:mergeCell ref="A33:B33"/>
    <x:mergeCell ref="M18:N18"/>
    <x:mergeCell ref="M36:T36"/>
    <x:mergeCell ref="M44:O44"/>
  </x:mergeCells>
  <x:dataValidations count="2">
    <x:dataValidation type="decimal" errorStyle="stop" operator="between" showErrorMessage="1" errorTitle="Enter a percentage" error="Use a percentage between 0% and 100%." sqref="B5:B10">
      <x:formula1>0</x:formula1>
      <x:formula2>1</x:formula2>
    </x:dataValidation>
    <x:dataValidation errorStyle="stop" showErrorMessage="1" errorTitle="Pick an allocation mode" error="Choose Month-to-date smoothing or Independent weekly." sqref="B15"/>
  </x:dataValidations>
  <x:pageMargins left="0.7" right="0.7" top="0.75" bottom="0.75" header="0.3" footer="0.3"/>
  <x:drawing xmlns:r="http://schemas.openxmlformats.org/officeDocument/2006/relationships" r:id="Rf9e52b38ab334c82"/>
</x:worksheet>
</file>

<file path=xl/worksheets/sheet3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January Budget Planner</x:v>
      </x:c>
      <x:c r="B1" s="53" t="str">
        <x:v>January Budget Planner</x:v>
      </x:c>
      <x:c r="C1" s="53" t="str">
        <x:v>January Budget Planner</x:v>
      </x:c>
      <x:c r="D1" s="53" t="str">
        <x:v>January Budget Planner</x:v>
      </x:c>
      <x:c r="E1" s="53" t="str">
        <x:v>January Budget Planner</x:v>
      </x:c>
      <x:c r="F1" s="53" t="str">
        <x:v>January Budget Planner</x:v>
      </x:c>
      <x:c r="G1" s="53" t="str">
        <x:v>January Budget Planner</x:v>
      </x:c>
      <x:c r="H1" s="53" t="str">
        <x:v>January Budget Planner</x:v>
      </x:c>
      <x:c r="I1" s="53" t="str">
        <x:v>January Budget Planner</x:v>
      </x:c>
      <x:c r="J1" s="53" t="str">
        <x:v>January Budget Planner</x:v>
      </x:c>
      <x:c r="K1" s="53" t="str">
        <x:v>January Budget Planner</x:v>
      </x:c>
      <x:c r="L1" s="53" t="str">
        <x:v>January Budget Planner</x:v>
      </x:c>
      <x:c r="M1" s="53" t="str">
        <x:v>January Budget Planner</x:v>
      </x:c>
      <x:c r="N1" s="53" t="str">
        <x:v>January Budget Planner</x:v>
      </x:c>
      <x:c r="O1" s="53" t="str">
        <x:v>January Budget Planner</x:v>
      </x:c>
      <x:c r="P1" s="53" t="str">
        <x:v>January Budget Planner</x:v>
      </x:c>
      <x:c r="Q1" s="53" t="str">
        <x:v>January Budget Planner</x:v>
      </x:c>
      <x:c r="R1" s="53" t="str">
        <x:v>January Budget Planner</x:v>
      </x:c>
      <x:c r="S1" s="53" t="str">
        <x:v>January Budget Planner</x:v>
      </x:c>
      <x:c r="T1" s="53" t="str">
        <x:v>January Budget Planner</x:v>
      </x:c>
      <x:c r="U1" s="53" t="str">
        <x:v>January Budget Planner</x:v>
      </x:c>
      <x:c r="V1" s="53" t="str">
        <x:v>January Budget Planner</x:v>
      </x:c>
      <x:c r="W1" s="53" t="str">
        <x:v>January Budget Planner</x:v>
      </x:c>
      <x:c r="X1" s="53" t="str">
        <x:v>January Budget Planner</x:v>
      </x:c>
      <x:c r="Y1" s="53" t="str">
        <x:v>January Budget Planner</x:v>
      </x:c>
      <x:c r="Z1" s="53" t="str">
        <x:v>January Budget Planner</x:v>
      </x:c>
      <x:c r="AA1" s="53" t="str">
        <x:v>January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Overview'!$X$4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Overview'!$Y$4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Overview'!$Z$4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/>
      <x:c r="AD29" s="86" t="str">
        <x:f>""</x:f>
      </x:c>
      <x:c r="AE29" s="86" t="str">
        <x:f>""</x:f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/>
      <x:c r="AD30" s="86" t="str">
        <x:f>""</x:f>
      </x:c>
      <x:c r="AE30" s="86" t="str">
        <x:f>""</x:f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Jan</x:v>
      </x:c>
      <x:c r="AD31" s="86" t="n">
        <x:f>'Annual Overview'!$B$18</x:f>
        <x:v>0</x:v>
      </x:c>
      <x:c r="AE31" s="86" t="n">
        <x:f>'Annual Overview'!$C$18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27571651ddd84b36"/>
</x:worksheet>
</file>

<file path=xl/worksheets/sheet4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February Budget Planner</x:v>
      </x:c>
      <x:c r="B1" s="53" t="str">
        <x:v>February Budget Planner</x:v>
      </x:c>
      <x:c r="C1" s="53" t="str">
        <x:v>February Budget Planner</x:v>
      </x:c>
      <x:c r="D1" s="53" t="str">
        <x:v>February Budget Planner</x:v>
      </x:c>
      <x:c r="E1" s="53" t="str">
        <x:v>February Budget Planner</x:v>
      </x:c>
      <x:c r="F1" s="53" t="str">
        <x:v>February Budget Planner</x:v>
      </x:c>
      <x:c r="G1" s="53" t="str">
        <x:v>February Budget Planner</x:v>
      </x:c>
      <x:c r="H1" s="53" t="str">
        <x:v>February Budget Planner</x:v>
      </x:c>
      <x:c r="I1" s="53" t="str">
        <x:v>February Budget Planner</x:v>
      </x:c>
      <x:c r="J1" s="53" t="str">
        <x:v>February Budget Planner</x:v>
      </x:c>
      <x:c r="K1" s="53" t="str">
        <x:v>February Budget Planner</x:v>
      </x:c>
      <x:c r="L1" s="53" t="str">
        <x:v>February Budget Planner</x:v>
      </x:c>
      <x:c r="M1" s="53" t="str">
        <x:v>February Budget Planner</x:v>
      </x:c>
      <x:c r="N1" s="53" t="str">
        <x:v>February Budget Planner</x:v>
      </x:c>
      <x:c r="O1" s="53" t="str">
        <x:v>February Budget Planner</x:v>
      </x:c>
      <x:c r="P1" s="53" t="str">
        <x:v>February Budget Planner</x:v>
      </x:c>
      <x:c r="Q1" s="53" t="str">
        <x:v>February Budget Planner</x:v>
      </x:c>
      <x:c r="R1" s="53" t="str">
        <x:v>February Budget Planner</x:v>
      </x:c>
      <x:c r="S1" s="53" t="str">
        <x:v>February Budget Planner</x:v>
      </x:c>
      <x:c r="T1" s="53" t="str">
        <x:v>February Budget Planner</x:v>
      </x:c>
      <x:c r="U1" s="53" t="str">
        <x:v>February Budget Planner</x:v>
      </x:c>
      <x:c r="V1" s="53" t="str">
        <x:v>February Budget Planner</x:v>
      </x:c>
      <x:c r="W1" s="53" t="str">
        <x:v>February Budget Planner</x:v>
      </x:c>
      <x:c r="X1" s="53" t="str">
        <x:v>February Budget Planner</x:v>
      </x:c>
      <x:c r="Y1" s="53" t="str">
        <x:v>February Budget Planner</x:v>
      </x:c>
      <x:c r="Z1" s="53" t="str">
        <x:v>February Budget Planner</x:v>
      </x:c>
      <x:c r="AA1" s="53" t="str">
        <x:v>February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Overview'!$X$5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Overview'!$Y$5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Overview'!$Z$5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/>
      <x:c r="AD29" s="86" t="str">
        <x:f>""</x:f>
      </x:c>
      <x:c r="AE29" s="86" t="str">
        <x:f>""</x:f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Jan</x:v>
      </x:c>
      <x:c r="AD30" s="86" t="n">
        <x:f>'Annual Overview'!$B$18</x:f>
        <x:v>0</x:v>
      </x:c>
      <x:c r="AE30" s="86" t="n">
        <x:f>'Annual Overview'!$C$18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Feb</x:v>
      </x:c>
      <x:c r="AD31" s="86" t="n">
        <x:f>'Annual Overview'!$B$19</x:f>
        <x:v>0</x:v>
      </x:c>
      <x:c r="AE31" s="86" t="n">
        <x:f>'Annual Overview'!$C$19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39bf39fc110d4e34"/>
</x:worksheet>
</file>

<file path=xl/worksheets/sheet5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March Budget Planner</x:v>
      </x:c>
      <x:c r="B1" s="53" t="str">
        <x:v>March Budget Planner</x:v>
      </x:c>
      <x:c r="C1" s="53" t="str">
        <x:v>March Budget Planner</x:v>
      </x:c>
      <x:c r="D1" s="53" t="str">
        <x:v>March Budget Planner</x:v>
      </x:c>
      <x:c r="E1" s="53" t="str">
        <x:v>March Budget Planner</x:v>
      </x:c>
      <x:c r="F1" s="53" t="str">
        <x:v>March Budget Planner</x:v>
      </x:c>
      <x:c r="G1" s="53" t="str">
        <x:v>March Budget Planner</x:v>
      </x:c>
      <x:c r="H1" s="53" t="str">
        <x:v>March Budget Planner</x:v>
      </x:c>
      <x:c r="I1" s="53" t="str">
        <x:v>March Budget Planner</x:v>
      </x:c>
      <x:c r="J1" s="53" t="str">
        <x:v>March Budget Planner</x:v>
      </x:c>
      <x:c r="K1" s="53" t="str">
        <x:v>March Budget Planner</x:v>
      </x:c>
      <x:c r="L1" s="53" t="str">
        <x:v>March Budget Planner</x:v>
      </x:c>
      <x:c r="M1" s="53" t="str">
        <x:v>March Budget Planner</x:v>
      </x:c>
      <x:c r="N1" s="53" t="str">
        <x:v>March Budget Planner</x:v>
      </x:c>
      <x:c r="O1" s="53" t="str">
        <x:v>March Budget Planner</x:v>
      </x:c>
      <x:c r="P1" s="53" t="str">
        <x:v>March Budget Planner</x:v>
      </x:c>
      <x:c r="Q1" s="53" t="str">
        <x:v>March Budget Planner</x:v>
      </x:c>
      <x:c r="R1" s="53" t="str">
        <x:v>March Budget Planner</x:v>
      </x:c>
      <x:c r="S1" s="53" t="str">
        <x:v>March Budget Planner</x:v>
      </x:c>
      <x:c r="T1" s="53" t="str">
        <x:v>March Budget Planner</x:v>
      </x:c>
      <x:c r="U1" s="53" t="str">
        <x:v>March Budget Planner</x:v>
      </x:c>
      <x:c r="V1" s="53" t="str">
        <x:v>March Budget Planner</x:v>
      </x:c>
      <x:c r="W1" s="53" t="str">
        <x:v>March Budget Planner</x:v>
      </x:c>
      <x:c r="X1" s="53" t="str">
        <x:v>March Budget Planner</x:v>
      </x:c>
      <x:c r="Y1" s="53" t="str">
        <x:v>March Budget Planner</x:v>
      </x:c>
      <x:c r="Z1" s="53" t="str">
        <x:v>March Budget Planner</x:v>
      </x:c>
      <x:c r="AA1" s="53" t="str">
        <x:v>March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Overview'!$X$6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Overview'!$Y$6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Overview'!$Z$6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>
        <x:v>Jan</x:v>
      </x:c>
      <x:c r="AD29" s="86" t="n">
        <x:f>'Annual Overview'!$B$18</x:f>
        <x:v>0</x:v>
      </x:c>
      <x:c r="AE29" s="86" t="n">
        <x:f>'Annual Overview'!$C$18</x:f>
        <x:v>0</x:v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Feb</x:v>
      </x:c>
      <x:c r="AD30" s="86" t="n">
        <x:f>'Annual Overview'!$B$19</x:f>
        <x:v>0</x:v>
      </x:c>
      <x:c r="AE30" s="86" t="n">
        <x:f>'Annual Overview'!$C$19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Mar</x:v>
      </x:c>
      <x:c r="AD31" s="86" t="n">
        <x:f>'Annual Overview'!$B$20</x:f>
        <x:v>0</x:v>
      </x:c>
      <x:c r="AE31" s="86" t="n">
        <x:f>'Annual Overview'!$C$20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76215ff51b3045b8"/>
</x:worksheet>
</file>

<file path=xl/worksheets/sheet6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April Budget Planner</x:v>
      </x:c>
      <x:c r="B1" s="53" t="str">
        <x:v>April Budget Planner</x:v>
      </x:c>
      <x:c r="C1" s="53" t="str">
        <x:v>April Budget Planner</x:v>
      </x:c>
      <x:c r="D1" s="53" t="str">
        <x:v>April Budget Planner</x:v>
      </x:c>
      <x:c r="E1" s="53" t="str">
        <x:v>April Budget Planner</x:v>
      </x:c>
      <x:c r="F1" s="53" t="str">
        <x:v>April Budget Planner</x:v>
      </x:c>
      <x:c r="G1" s="53" t="str">
        <x:v>April Budget Planner</x:v>
      </x:c>
      <x:c r="H1" s="53" t="str">
        <x:v>April Budget Planner</x:v>
      </x:c>
      <x:c r="I1" s="53" t="str">
        <x:v>April Budget Planner</x:v>
      </x:c>
      <x:c r="J1" s="53" t="str">
        <x:v>April Budget Planner</x:v>
      </x:c>
      <x:c r="K1" s="53" t="str">
        <x:v>April Budget Planner</x:v>
      </x:c>
      <x:c r="L1" s="53" t="str">
        <x:v>April Budget Planner</x:v>
      </x:c>
      <x:c r="M1" s="53" t="str">
        <x:v>April Budget Planner</x:v>
      </x:c>
      <x:c r="N1" s="53" t="str">
        <x:v>April Budget Planner</x:v>
      </x:c>
      <x:c r="O1" s="53" t="str">
        <x:v>April Budget Planner</x:v>
      </x:c>
      <x:c r="P1" s="53" t="str">
        <x:v>April Budget Planner</x:v>
      </x:c>
      <x:c r="Q1" s="53" t="str">
        <x:v>April Budget Planner</x:v>
      </x:c>
      <x:c r="R1" s="53" t="str">
        <x:v>April Budget Planner</x:v>
      </x:c>
      <x:c r="S1" s="53" t="str">
        <x:v>April Budget Planner</x:v>
      </x:c>
      <x:c r="T1" s="53" t="str">
        <x:v>April Budget Planner</x:v>
      </x:c>
      <x:c r="U1" s="53" t="str">
        <x:v>April Budget Planner</x:v>
      </x:c>
      <x:c r="V1" s="53" t="str">
        <x:v>April Budget Planner</x:v>
      </x:c>
      <x:c r="W1" s="53" t="str">
        <x:v>April Budget Planner</x:v>
      </x:c>
      <x:c r="X1" s="53" t="str">
        <x:v>April Budget Planner</x:v>
      </x:c>
      <x:c r="Y1" s="53" t="str">
        <x:v>April Budget Planner</x:v>
      </x:c>
      <x:c r="Z1" s="53" t="str">
        <x:v>April Budget Planner</x:v>
      </x:c>
      <x:c r="AA1" s="53" t="str">
        <x:v>April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Overview'!$X$7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Overview'!$Y$7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Overview'!$Z$7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>
        <x:v>Feb</x:v>
      </x:c>
      <x:c r="AD29" s="86" t="n">
        <x:f>'Annual Overview'!$B$19</x:f>
        <x:v>0</x:v>
      </x:c>
      <x:c r="AE29" s="86" t="n">
        <x:f>'Annual Overview'!$C$19</x:f>
        <x:v>0</x:v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Mar</x:v>
      </x:c>
      <x:c r="AD30" s="86" t="n">
        <x:f>'Annual Overview'!$B$20</x:f>
        <x:v>0</x:v>
      </x:c>
      <x:c r="AE30" s="86" t="n">
        <x:f>'Annual Overview'!$C$20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Apr</x:v>
      </x:c>
      <x:c r="AD31" s="86" t="n">
        <x:f>'Annual Overview'!$B$21</x:f>
        <x:v>0</x:v>
      </x:c>
      <x:c r="AE31" s="86" t="n">
        <x:f>'Annual Overview'!$C$21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f6c2cb82b72a4d1b"/>
</x:worksheet>
</file>

<file path=xl/worksheets/sheet7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May Budget Planner</x:v>
      </x:c>
      <x:c r="B1" s="53" t="str">
        <x:v>May Budget Planner</x:v>
      </x:c>
      <x:c r="C1" s="53" t="str">
        <x:v>May Budget Planner</x:v>
      </x:c>
      <x:c r="D1" s="53" t="str">
        <x:v>May Budget Planner</x:v>
      </x:c>
      <x:c r="E1" s="53" t="str">
        <x:v>May Budget Planner</x:v>
      </x:c>
      <x:c r="F1" s="53" t="str">
        <x:v>May Budget Planner</x:v>
      </x:c>
      <x:c r="G1" s="53" t="str">
        <x:v>May Budget Planner</x:v>
      </x:c>
      <x:c r="H1" s="53" t="str">
        <x:v>May Budget Planner</x:v>
      </x:c>
      <x:c r="I1" s="53" t="str">
        <x:v>May Budget Planner</x:v>
      </x:c>
      <x:c r="J1" s="53" t="str">
        <x:v>May Budget Planner</x:v>
      </x:c>
      <x:c r="K1" s="53" t="str">
        <x:v>May Budget Planner</x:v>
      </x:c>
      <x:c r="L1" s="53" t="str">
        <x:v>May Budget Planner</x:v>
      </x:c>
      <x:c r="M1" s="53" t="str">
        <x:v>May Budget Planner</x:v>
      </x:c>
      <x:c r="N1" s="53" t="str">
        <x:v>May Budget Planner</x:v>
      </x:c>
      <x:c r="O1" s="53" t="str">
        <x:v>May Budget Planner</x:v>
      </x:c>
      <x:c r="P1" s="53" t="str">
        <x:v>May Budget Planner</x:v>
      </x:c>
      <x:c r="Q1" s="53" t="str">
        <x:v>May Budget Planner</x:v>
      </x:c>
      <x:c r="R1" s="53" t="str">
        <x:v>May Budget Planner</x:v>
      </x:c>
      <x:c r="S1" s="53" t="str">
        <x:v>May Budget Planner</x:v>
      </x:c>
      <x:c r="T1" s="53" t="str">
        <x:v>May Budget Planner</x:v>
      </x:c>
      <x:c r="U1" s="53" t="str">
        <x:v>May Budget Planner</x:v>
      </x:c>
      <x:c r="V1" s="53" t="str">
        <x:v>May Budget Planner</x:v>
      </x:c>
      <x:c r="W1" s="53" t="str">
        <x:v>May Budget Planner</x:v>
      </x:c>
      <x:c r="X1" s="53" t="str">
        <x:v>May Budget Planner</x:v>
      </x:c>
      <x:c r="Y1" s="53" t="str">
        <x:v>May Budget Planner</x:v>
      </x:c>
      <x:c r="Z1" s="53" t="str">
        <x:v>May Budget Planner</x:v>
      </x:c>
      <x:c r="AA1" s="53" t="str">
        <x:v>May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Overview'!$X$8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Overview'!$Y$8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Overview'!$Z$8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>
        <x:v>Mar</x:v>
      </x:c>
      <x:c r="AD29" s="86" t="n">
        <x:f>'Annual Overview'!$B$20</x:f>
        <x:v>0</x:v>
      </x:c>
      <x:c r="AE29" s="86" t="n">
        <x:f>'Annual Overview'!$C$20</x:f>
        <x:v>0</x:v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Apr</x:v>
      </x:c>
      <x:c r="AD30" s="86" t="n">
        <x:f>'Annual Overview'!$B$21</x:f>
        <x:v>0</x:v>
      </x:c>
      <x:c r="AE30" s="86" t="n">
        <x:f>'Annual Overview'!$C$21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May</x:v>
      </x:c>
      <x:c r="AD31" s="86" t="n">
        <x:f>'Annual Overview'!$B$22</x:f>
        <x:v>0</x:v>
      </x:c>
      <x:c r="AE31" s="86" t="n">
        <x:f>'Annual Overview'!$C$22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49b7a033646c4d2c"/>
</x:worksheet>
</file>

<file path=xl/worksheets/sheet8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June Budget Planner</x:v>
      </x:c>
      <x:c r="B1" s="53" t="str">
        <x:v>June Budget Planner</x:v>
      </x:c>
      <x:c r="C1" s="53" t="str">
        <x:v>June Budget Planner</x:v>
      </x:c>
      <x:c r="D1" s="53" t="str">
        <x:v>June Budget Planner</x:v>
      </x:c>
      <x:c r="E1" s="53" t="str">
        <x:v>June Budget Planner</x:v>
      </x:c>
      <x:c r="F1" s="53" t="str">
        <x:v>June Budget Planner</x:v>
      </x:c>
      <x:c r="G1" s="53" t="str">
        <x:v>June Budget Planner</x:v>
      </x:c>
      <x:c r="H1" s="53" t="str">
        <x:v>June Budget Planner</x:v>
      </x:c>
      <x:c r="I1" s="53" t="str">
        <x:v>June Budget Planner</x:v>
      </x:c>
      <x:c r="J1" s="53" t="str">
        <x:v>June Budget Planner</x:v>
      </x:c>
      <x:c r="K1" s="53" t="str">
        <x:v>June Budget Planner</x:v>
      </x:c>
      <x:c r="L1" s="53" t="str">
        <x:v>June Budget Planner</x:v>
      </x:c>
      <x:c r="M1" s="53" t="str">
        <x:v>June Budget Planner</x:v>
      </x:c>
      <x:c r="N1" s="53" t="str">
        <x:v>June Budget Planner</x:v>
      </x:c>
      <x:c r="O1" s="53" t="str">
        <x:v>June Budget Planner</x:v>
      </x:c>
      <x:c r="P1" s="53" t="str">
        <x:v>June Budget Planner</x:v>
      </x:c>
      <x:c r="Q1" s="53" t="str">
        <x:v>June Budget Planner</x:v>
      </x:c>
      <x:c r="R1" s="53" t="str">
        <x:v>June Budget Planner</x:v>
      </x:c>
      <x:c r="S1" s="53" t="str">
        <x:v>June Budget Planner</x:v>
      </x:c>
      <x:c r="T1" s="53" t="str">
        <x:v>June Budget Planner</x:v>
      </x:c>
      <x:c r="U1" s="53" t="str">
        <x:v>June Budget Planner</x:v>
      </x:c>
      <x:c r="V1" s="53" t="str">
        <x:v>June Budget Planner</x:v>
      </x:c>
      <x:c r="W1" s="53" t="str">
        <x:v>June Budget Planner</x:v>
      </x:c>
      <x:c r="X1" s="53" t="str">
        <x:v>June Budget Planner</x:v>
      </x:c>
      <x:c r="Y1" s="53" t="str">
        <x:v>June Budget Planner</x:v>
      </x:c>
      <x:c r="Z1" s="53" t="str">
        <x:v>June Budget Planner</x:v>
      </x:c>
      <x:c r="AA1" s="53" t="str">
        <x:v>June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Overview'!$X$9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Overview'!$Y$9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Overview'!$Z$9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>
        <x:v>Apr</x:v>
      </x:c>
      <x:c r="AD29" s="86" t="n">
        <x:f>'Annual Overview'!$B$21</x:f>
        <x:v>0</x:v>
      </x:c>
      <x:c r="AE29" s="86" t="n">
        <x:f>'Annual Overview'!$C$21</x:f>
        <x:v>0</x:v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May</x:v>
      </x:c>
      <x:c r="AD30" s="86" t="n">
        <x:f>'Annual Overview'!$B$22</x:f>
        <x:v>0</x:v>
      </x:c>
      <x:c r="AE30" s="86" t="n">
        <x:f>'Annual Overview'!$C$22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Jun</x:v>
      </x:c>
      <x:c r="AD31" s="86" t="n">
        <x:f>'Annual Overview'!$B$23</x:f>
        <x:v>0</x:v>
      </x:c>
      <x:c r="AE31" s="86" t="n">
        <x:f>'Annual Overview'!$C$23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04cdf0ab9f994672"/>
</x:worksheet>
</file>

<file path=xl/worksheets/sheet9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July Budget Planner</x:v>
      </x:c>
      <x:c r="B1" s="53" t="str">
        <x:v>July Budget Planner</x:v>
      </x:c>
      <x:c r="C1" s="53" t="str">
        <x:v>July Budget Planner</x:v>
      </x:c>
      <x:c r="D1" s="53" t="str">
        <x:v>July Budget Planner</x:v>
      </x:c>
      <x:c r="E1" s="53" t="str">
        <x:v>July Budget Planner</x:v>
      </x:c>
      <x:c r="F1" s="53" t="str">
        <x:v>July Budget Planner</x:v>
      </x:c>
      <x:c r="G1" s="53" t="str">
        <x:v>July Budget Planner</x:v>
      </x:c>
      <x:c r="H1" s="53" t="str">
        <x:v>July Budget Planner</x:v>
      </x:c>
      <x:c r="I1" s="53" t="str">
        <x:v>July Budget Planner</x:v>
      </x:c>
      <x:c r="J1" s="53" t="str">
        <x:v>July Budget Planner</x:v>
      </x:c>
      <x:c r="K1" s="53" t="str">
        <x:v>July Budget Planner</x:v>
      </x:c>
      <x:c r="L1" s="53" t="str">
        <x:v>July Budget Planner</x:v>
      </x:c>
      <x:c r="M1" s="53" t="str">
        <x:v>July Budget Planner</x:v>
      </x:c>
      <x:c r="N1" s="53" t="str">
        <x:v>July Budget Planner</x:v>
      </x:c>
      <x:c r="O1" s="53" t="str">
        <x:v>July Budget Planner</x:v>
      </x:c>
      <x:c r="P1" s="53" t="str">
        <x:v>July Budget Planner</x:v>
      </x:c>
      <x:c r="Q1" s="53" t="str">
        <x:v>July Budget Planner</x:v>
      </x:c>
      <x:c r="R1" s="53" t="str">
        <x:v>July Budget Planner</x:v>
      </x:c>
      <x:c r="S1" s="53" t="str">
        <x:v>July Budget Planner</x:v>
      </x:c>
      <x:c r="T1" s="53" t="str">
        <x:v>July Budget Planner</x:v>
      </x:c>
      <x:c r="U1" s="53" t="str">
        <x:v>July Budget Planner</x:v>
      </x:c>
      <x:c r="V1" s="53" t="str">
        <x:v>July Budget Planner</x:v>
      </x:c>
      <x:c r="W1" s="53" t="str">
        <x:v>July Budget Planner</x:v>
      </x:c>
      <x:c r="X1" s="53" t="str">
        <x:v>July Budget Planner</x:v>
      </x:c>
      <x:c r="Y1" s="53" t="str">
        <x:v>July Budget Planner</x:v>
      </x:c>
      <x:c r="Z1" s="53" t="str">
        <x:v>July Budget Planner</x:v>
      </x:c>
      <x:c r="AA1" s="53" t="str">
        <x:v>July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Overview'!$X$10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Overview'!$Y$10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Overview'!$Z$10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>
        <x:v>May</x:v>
      </x:c>
      <x:c r="AD29" s="86" t="n">
        <x:f>'Annual Overview'!$B$22</x:f>
        <x:v>0</x:v>
      </x:c>
      <x:c r="AE29" s="86" t="n">
        <x:f>'Annual Overview'!$C$22</x:f>
        <x:v>0</x:v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Jun</x:v>
      </x:c>
      <x:c r="AD30" s="86" t="n">
        <x:f>'Annual Overview'!$B$23</x:f>
        <x:v>0</x:v>
      </x:c>
      <x:c r="AE30" s="86" t="n">
        <x:f>'Annual Overview'!$C$23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Jul</x:v>
      </x:c>
      <x:c r="AD31" s="86" t="n">
        <x:f>'Annual Overview'!$B$24</x:f>
        <x:v>0</x:v>
      </x:c>
      <x:c r="AE31" s="86" t="n">
        <x:f>'Annual Overview'!$C$24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7bc9af7f53474be1"/>
</x:worksheet>
</file>

<file path=xl/worksheets/sheet10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August Budget Planner</x:v>
      </x:c>
      <x:c r="B1" s="53" t="str">
        <x:v>August Budget Planner</x:v>
      </x:c>
      <x:c r="C1" s="53" t="str">
        <x:v>August Budget Planner</x:v>
      </x:c>
      <x:c r="D1" s="53" t="str">
        <x:v>August Budget Planner</x:v>
      </x:c>
      <x:c r="E1" s="53" t="str">
        <x:v>August Budget Planner</x:v>
      </x:c>
      <x:c r="F1" s="53" t="str">
        <x:v>August Budget Planner</x:v>
      </x:c>
      <x:c r="G1" s="53" t="str">
        <x:v>August Budget Planner</x:v>
      </x:c>
      <x:c r="H1" s="53" t="str">
        <x:v>August Budget Planner</x:v>
      </x:c>
      <x:c r="I1" s="53" t="str">
        <x:v>August Budget Planner</x:v>
      </x:c>
      <x:c r="J1" s="53" t="str">
        <x:v>August Budget Planner</x:v>
      </x:c>
      <x:c r="K1" s="53" t="str">
        <x:v>August Budget Planner</x:v>
      </x:c>
      <x:c r="L1" s="53" t="str">
        <x:v>August Budget Planner</x:v>
      </x:c>
      <x:c r="M1" s="53" t="str">
        <x:v>August Budget Planner</x:v>
      </x:c>
      <x:c r="N1" s="53" t="str">
        <x:v>August Budget Planner</x:v>
      </x:c>
      <x:c r="O1" s="53" t="str">
        <x:v>August Budget Planner</x:v>
      </x:c>
      <x:c r="P1" s="53" t="str">
        <x:v>August Budget Planner</x:v>
      </x:c>
      <x:c r="Q1" s="53" t="str">
        <x:v>August Budget Planner</x:v>
      </x:c>
      <x:c r="R1" s="53" t="str">
        <x:v>August Budget Planner</x:v>
      </x:c>
      <x:c r="S1" s="53" t="str">
        <x:v>August Budget Planner</x:v>
      </x:c>
      <x:c r="T1" s="53" t="str">
        <x:v>August Budget Planner</x:v>
      </x:c>
      <x:c r="U1" s="53" t="str">
        <x:v>August Budget Planner</x:v>
      </x:c>
      <x:c r="V1" s="53" t="str">
        <x:v>August Budget Planner</x:v>
      </x:c>
      <x:c r="W1" s="53" t="str">
        <x:v>August Budget Planner</x:v>
      </x:c>
      <x:c r="X1" s="53" t="str">
        <x:v>August Budget Planner</x:v>
      </x:c>
      <x:c r="Y1" s="53" t="str">
        <x:v>August Budget Planner</x:v>
      </x:c>
      <x:c r="Z1" s="53" t="str">
        <x:v>August Budget Planner</x:v>
      </x:c>
      <x:c r="AA1" s="53" t="str">
        <x:v>August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Overview'!$X$11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Overview'!$Y$11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Overview'!$Z$11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>
        <x:v>Jun</x:v>
      </x:c>
      <x:c r="AD29" s="86" t="n">
        <x:f>'Annual Overview'!$B$23</x:f>
        <x:v>0</x:v>
      </x:c>
      <x:c r="AE29" s="86" t="n">
        <x:f>'Annual Overview'!$C$23</x:f>
        <x:v>0</x:v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Jul</x:v>
      </x:c>
      <x:c r="AD30" s="86" t="n">
        <x:f>'Annual Overview'!$B$24</x:f>
        <x:v>0</x:v>
      </x:c>
      <x:c r="AE30" s="86" t="n">
        <x:f>'Annual Overview'!$C$24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Aug</x:v>
      </x:c>
      <x:c r="AD31" s="86" t="n">
        <x:f>'Annual Overview'!$B$25</x:f>
        <x:v>0</x:v>
      </x:c>
      <x:c r="AE31" s="86" t="n">
        <x:f>'Annual Overview'!$C$25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6cbcf2df11734ffc"/>
</x:worksheet>
</file>

<file path=xl/worksheets/sheet11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September Budget Planner</x:v>
      </x:c>
      <x:c r="B1" s="53" t="str">
        <x:v>September Budget Planner</x:v>
      </x:c>
      <x:c r="C1" s="53" t="str">
        <x:v>September Budget Planner</x:v>
      </x:c>
      <x:c r="D1" s="53" t="str">
        <x:v>September Budget Planner</x:v>
      </x:c>
      <x:c r="E1" s="53" t="str">
        <x:v>September Budget Planner</x:v>
      </x:c>
      <x:c r="F1" s="53" t="str">
        <x:v>September Budget Planner</x:v>
      </x:c>
      <x:c r="G1" s="53" t="str">
        <x:v>September Budget Planner</x:v>
      </x:c>
      <x:c r="H1" s="53" t="str">
        <x:v>September Budget Planner</x:v>
      </x:c>
      <x:c r="I1" s="53" t="str">
        <x:v>September Budget Planner</x:v>
      </x:c>
      <x:c r="J1" s="53" t="str">
        <x:v>September Budget Planner</x:v>
      </x:c>
      <x:c r="K1" s="53" t="str">
        <x:v>September Budget Planner</x:v>
      </x:c>
      <x:c r="L1" s="53" t="str">
        <x:v>September Budget Planner</x:v>
      </x:c>
      <x:c r="M1" s="53" t="str">
        <x:v>September Budget Planner</x:v>
      </x:c>
      <x:c r="N1" s="53" t="str">
        <x:v>September Budget Planner</x:v>
      </x:c>
      <x:c r="O1" s="53" t="str">
        <x:v>September Budget Planner</x:v>
      </x:c>
      <x:c r="P1" s="53" t="str">
        <x:v>September Budget Planner</x:v>
      </x:c>
      <x:c r="Q1" s="53" t="str">
        <x:v>September Budget Planner</x:v>
      </x:c>
      <x:c r="R1" s="53" t="str">
        <x:v>September Budget Planner</x:v>
      </x:c>
      <x:c r="S1" s="53" t="str">
        <x:v>September Budget Planner</x:v>
      </x:c>
      <x:c r="T1" s="53" t="str">
        <x:v>September Budget Planner</x:v>
      </x:c>
      <x:c r="U1" s="53" t="str">
        <x:v>September Budget Planner</x:v>
      </x:c>
      <x:c r="V1" s="53" t="str">
        <x:v>September Budget Planner</x:v>
      </x:c>
      <x:c r="W1" s="53" t="str">
        <x:v>September Budget Planner</x:v>
      </x:c>
      <x:c r="X1" s="53" t="str">
        <x:v>September Budget Planner</x:v>
      </x:c>
      <x:c r="Y1" s="53" t="str">
        <x:v>September Budget Planner</x:v>
      </x:c>
      <x:c r="Z1" s="53" t="str">
        <x:v>September Budget Planner</x:v>
      </x:c>
      <x:c r="AA1" s="53" t="str">
        <x:v>September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Overview'!$X$12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Overview'!$Y$12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Overview'!$Z$12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>
        <x:v>Jul</x:v>
      </x:c>
      <x:c r="AD29" s="86" t="n">
        <x:f>'Annual Overview'!$B$24</x:f>
        <x:v>0</x:v>
      </x:c>
      <x:c r="AE29" s="86" t="n">
        <x:f>'Annual Overview'!$C$24</x:f>
        <x:v>0</x:v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Aug</x:v>
      </x:c>
      <x:c r="AD30" s="86" t="n">
        <x:f>'Annual Overview'!$B$25</x:f>
        <x:v>0</x:v>
      </x:c>
      <x:c r="AE30" s="86" t="n">
        <x:f>'Annual Overview'!$C$25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Sep</x:v>
      </x:c>
      <x:c r="AD31" s="86" t="n">
        <x:f>'Annual Overview'!$B$26</x:f>
        <x:v>0</x:v>
      </x:c>
      <x:c r="AE31" s="86" t="n">
        <x:f>'Annual Overview'!$C$26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02a06172afce40ea"/>
</x:worksheet>
</file>

<file path=xl/worksheets/sheet12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October Budget Planner</x:v>
      </x:c>
      <x:c r="B1" s="53" t="str">
        <x:v>October Budget Planner</x:v>
      </x:c>
      <x:c r="C1" s="53" t="str">
        <x:v>October Budget Planner</x:v>
      </x:c>
      <x:c r="D1" s="53" t="str">
        <x:v>October Budget Planner</x:v>
      </x:c>
      <x:c r="E1" s="53" t="str">
        <x:v>October Budget Planner</x:v>
      </x:c>
      <x:c r="F1" s="53" t="str">
        <x:v>October Budget Planner</x:v>
      </x:c>
      <x:c r="G1" s="53" t="str">
        <x:v>October Budget Planner</x:v>
      </x:c>
      <x:c r="H1" s="53" t="str">
        <x:v>October Budget Planner</x:v>
      </x:c>
      <x:c r="I1" s="53" t="str">
        <x:v>October Budget Planner</x:v>
      </x:c>
      <x:c r="J1" s="53" t="str">
        <x:v>October Budget Planner</x:v>
      </x:c>
      <x:c r="K1" s="53" t="str">
        <x:v>October Budget Planner</x:v>
      </x:c>
      <x:c r="L1" s="53" t="str">
        <x:v>October Budget Planner</x:v>
      </x:c>
      <x:c r="M1" s="53" t="str">
        <x:v>October Budget Planner</x:v>
      </x:c>
      <x:c r="N1" s="53" t="str">
        <x:v>October Budget Planner</x:v>
      </x:c>
      <x:c r="O1" s="53" t="str">
        <x:v>October Budget Planner</x:v>
      </x:c>
      <x:c r="P1" s="53" t="str">
        <x:v>October Budget Planner</x:v>
      </x:c>
      <x:c r="Q1" s="53" t="str">
        <x:v>October Budget Planner</x:v>
      </x:c>
      <x:c r="R1" s="53" t="str">
        <x:v>October Budget Planner</x:v>
      </x:c>
      <x:c r="S1" s="53" t="str">
        <x:v>October Budget Planner</x:v>
      </x:c>
      <x:c r="T1" s="53" t="str">
        <x:v>October Budget Planner</x:v>
      </x:c>
      <x:c r="U1" s="53" t="str">
        <x:v>October Budget Planner</x:v>
      </x:c>
      <x:c r="V1" s="53" t="str">
        <x:v>October Budget Planner</x:v>
      </x:c>
      <x:c r="W1" s="53" t="str">
        <x:v>October Budget Planner</x:v>
      </x:c>
      <x:c r="X1" s="53" t="str">
        <x:v>October Budget Planner</x:v>
      </x:c>
      <x:c r="Y1" s="53" t="str">
        <x:v>October Budget Planner</x:v>
      </x:c>
      <x:c r="Z1" s="53" t="str">
        <x:v>October Budget Planner</x:v>
      </x:c>
      <x:c r="AA1" s="53" t="str">
        <x:v>October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Overview'!$X$13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Overview'!$Y$13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Overview'!$Z$13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>
        <x:v>Aug</x:v>
      </x:c>
      <x:c r="AD29" s="86" t="n">
        <x:f>'Annual Overview'!$B$25</x:f>
        <x:v>0</x:v>
      </x:c>
      <x:c r="AE29" s="86" t="n">
        <x:f>'Annual Overview'!$C$25</x:f>
        <x:v>0</x:v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Sep</x:v>
      </x:c>
      <x:c r="AD30" s="86" t="n">
        <x:f>'Annual Overview'!$B$26</x:f>
        <x:v>0</x:v>
      </x:c>
      <x:c r="AE30" s="86" t="n">
        <x:f>'Annual Overview'!$C$26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Oct</x:v>
      </x:c>
      <x:c r="AD31" s="86" t="n">
        <x:f>'Annual Overview'!$B$27</x:f>
        <x:v>0</x:v>
      </x:c>
      <x:c r="AE31" s="86" t="n">
        <x:f>'Annual Overview'!$C$27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774880db407b45ae"/>
</x:worksheet>
</file>

<file path=xl/worksheets/sheet13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November Budget Planner</x:v>
      </x:c>
      <x:c r="B1" s="53" t="str">
        <x:v>November Budget Planner</x:v>
      </x:c>
      <x:c r="C1" s="53" t="str">
        <x:v>November Budget Planner</x:v>
      </x:c>
      <x:c r="D1" s="53" t="str">
        <x:v>November Budget Planner</x:v>
      </x:c>
      <x:c r="E1" s="53" t="str">
        <x:v>November Budget Planner</x:v>
      </x:c>
      <x:c r="F1" s="53" t="str">
        <x:v>November Budget Planner</x:v>
      </x:c>
      <x:c r="G1" s="53" t="str">
        <x:v>November Budget Planner</x:v>
      </x:c>
      <x:c r="H1" s="53" t="str">
        <x:v>November Budget Planner</x:v>
      </x:c>
      <x:c r="I1" s="53" t="str">
        <x:v>November Budget Planner</x:v>
      </x:c>
      <x:c r="J1" s="53" t="str">
        <x:v>November Budget Planner</x:v>
      </x:c>
      <x:c r="K1" s="53" t="str">
        <x:v>November Budget Planner</x:v>
      </x:c>
      <x:c r="L1" s="53" t="str">
        <x:v>November Budget Planner</x:v>
      </x:c>
      <x:c r="M1" s="53" t="str">
        <x:v>November Budget Planner</x:v>
      </x:c>
      <x:c r="N1" s="53" t="str">
        <x:v>November Budget Planner</x:v>
      </x:c>
      <x:c r="O1" s="53" t="str">
        <x:v>November Budget Planner</x:v>
      </x:c>
      <x:c r="P1" s="53" t="str">
        <x:v>November Budget Planner</x:v>
      </x:c>
      <x:c r="Q1" s="53" t="str">
        <x:v>November Budget Planner</x:v>
      </x:c>
      <x:c r="R1" s="53" t="str">
        <x:v>November Budget Planner</x:v>
      </x:c>
      <x:c r="S1" s="53" t="str">
        <x:v>November Budget Planner</x:v>
      </x:c>
      <x:c r="T1" s="53" t="str">
        <x:v>November Budget Planner</x:v>
      </x:c>
      <x:c r="U1" s="53" t="str">
        <x:v>November Budget Planner</x:v>
      </x:c>
      <x:c r="V1" s="53" t="str">
        <x:v>November Budget Planner</x:v>
      </x:c>
      <x:c r="W1" s="53" t="str">
        <x:v>November Budget Planner</x:v>
      </x:c>
      <x:c r="X1" s="53" t="str">
        <x:v>November Budget Planner</x:v>
      </x:c>
      <x:c r="Y1" s="53" t="str">
        <x:v>November Budget Planner</x:v>
      </x:c>
      <x:c r="Z1" s="53" t="str">
        <x:v>November Budget Planner</x:v>
      </x:c>
      <x:c r="AA1" s="53" t="str">
        <x:v>November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Overview'!$X$14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Overview'!$Y$14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Overview'!$Z$14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>
        <x:v>Sep</x:v>
      </x:c>
      <x:c r="AD29" s="86" t="n">
        <x:f>'Annual Overview'!$B$26</x:f>
        <x:v>0</x:v>
      </x:c>
      <x:c r="AE29" s="86" t="n">
        <x:f>'Annual Overview'!$C$26</x:f>
        <x:v>0</x:v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Oct</x:v>
      </x:c>
      <x:c r="AD30" s="86" t="n">
        <x:f>'Annual Overview'!$B$27</x:f>
        <x:v>0</x:v>
      </x:c>
      <x:c r="AE30" s="86" t="n">
        <x:f>'Annual Overview'!$C$27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Nov</x:v>
      </x:c>
      <x:c r="AD31" s="86" t="n">
        <x:f>'Annual Overview'!$B$28</x:f>
        <x:v>0</x:v>
      </x:c>
      <x:c r="AE31" s="86" t="n">
        <x:f>'Annual Overview'!$C$28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3432b0674aaf4897"/>
</x:worksheet>
</file>

<file path=xl/worksheets/sheet14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.039999961853027" hidden="0" customWidth="1"/>
    <x:col min="3" max="3" width="11.039999961853027" hidden="0" customWidth="1"/>
    <x:col min="4" max="4" width="25.149999618530273" hidden="0" customWidth="1"/>
    <x:col min="5" max="5" width="11.039999961853027" hidden="0" customWidth="1"/>
    <x:col min="6" max="6" width="17.790000915527344" hidden="0" customWidth="1"/>
    <x:col min="7" max="7" width="11.65999984741211" hidden="0" customWidth="1"/>
    <x:col min="8" max="8" width="15.34000015258789" hidden="0" customWidth="1"/>
    <x:col min="9" max="9" width="11.039999961853027" hidden="0" customWidth="1"/>
    <x:col min="10" max="10" width="9.819999694824219" hidden="0" customWidth="1"/>
    <x:col min="11" max="11" width="11.039999961853027" hidden="0" customWidth="1"/>
    <x:col min="12" max="12" width="17.790000915527344" hidden="0" customWidth="1"/>
    <x:col min="13" max="13" width="15.949999809265137" hidden="0" customWidth="1"/>
    <x:col min="14" max="14" width="12.270000457763672" hidden="0" customWidth="1"/>
    <x:col min="15" max="15" width="12.270000457763672" hidden="0" customWidth="1"/>
    <x:col min="16" max="16" width="12.270000457763672" hidden="0" customWidth="1"/>
    <x:col min="17" max="17" width="14.109999656677246" hidden="0" customWidth="1"/>
    <x:col min="18" max="18" width="26.3799991607666" hidden="0" customWidth="1"/>
    <x:col min="19" max="19" width="11.039999961853027" hidden="0" customWidth="1"/>
    <x:col min="20" max="20" width="13.130000114440918" hidden="0" customWidth="1"/>
    <x:col min="21" max="21" width="12.149999618530273" hidden="0" customWidth="1"/>
    <x:col min="22" max="22" width="13.869999885559082" hidden="0" customWidth="1"/>
    <x:col min="23" max="23" width="13.869999885559082" hidden="0" customWidth="1"/>
    <x:col min="24" max="24" width="12.149999618530273" hidden="0" customWidth="1"/>
    <x:col min="25" max="25" width="15.09000015258789" hidden="0" customWidth="1"/>
    <x:col min="26" max="26" width="15.09000015258789" hidden="0" customWidth="1"/>
    <x:col min="27" max="27" width="14.600000381469727" hidden="0" customWidth="1"/>
    <x:col min="28" max="28" width="1.600000023841858" hidden="0" customWidth="1"/>
    <x:col min="29" max="29" width="11.039999961853027" hidden="0" customWidth="1"/>
    <x:col min="30" max="30" width="12.880000114440918" hidden="0" customWidth="1"/>
    <x:col min="31" max="31" width="12.88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</x:cols>
  <x:sheetData>
    <x:row r="1">
      <x:c r="A1" s="53" t="str">
        <x:v>December Budget Planner</x:v>
      </x:c>
      <x:c r="B1" s="53" t="str">
        <x:v>December Budget Planner</x:v>
      </x:c>
      <x:c r="C1" s="53" t="str">
        <x:v>December Budget Planner</x:v>
      </x:c>
      <x:c r="D1" s="53" t="str">
        <x:v>December Budget Planner</x:v>
      </x:c>
      <x:c r="E1" s="53" t="str">
        <x:v>December Budget Planner</x:v>
      </x:c>
      <x:c r="F1" s="53" t="str">
        <x:v>December Budget Planner</x:v>
      </x:c>
      <x:c r="G1" s="53" t="str">
        <x:v>December Budget Planner</x:v>
      </x:c>
      <x:c r="H1" s="53" t="str">
        <x:v>December Budget Planner</x:v>
      </x:c>
      <x:c r="I1" s="53" t="str">
        <x:v>December Budget Planner</x:v>
      </x:c>
      <x:c r="J1" s="53" t="str">
        <x:v>December Budget Planner</x:v>
      </x:c>
      <x:c r="K1" s="53" t="str">
        <x:v>December Budget Planner</x:v>
      </x:c>
      <x:c r="L1" s="53" t="str">
        <x:v>December Budget Planner</x:v>
      </x:c>
      <x:c r="M1" s="53" t="str">
        <x:v>December Budget Planner</x:v>
      </x:c>
      <x:c r="N1" s="53" t="str">
        <x:v>December Budget Planner</x:v>
      </x:c>
      <x:c r="O1" s="53" t="str">
        <x:v>December Budget Planner</x:v>
      </x:c>
      <x:c r="P1" s="53" t="str">
        <x:v>December Budget Planner</x:v>
      </x:c>
      <x:c r="Q1" s="53" t="str">
        <x:v>December Budget Planner</x:v>
      </x:c>
      <x:c r="R1" s="53" t="str">
        <x:v>December Budget Planner</x:v>
      </x:c>
      <x:c r="S1" s="53" t="str">
        <x:v>December Budget Planner</x:v>
      </x:c>
      <x:c r="T1" s="53" t="str">
        <x:v>December Budget Planner</x:v>
      </x:c>
      <x:c r="U1" s="53" t="str">
        <x:v>December Budget Planner</x:v>
      </x:c>
      <x:c r="V1" s="53" t="str">
        <x:v>December Budget Planner</x:v>
      </x:c>
      <x:c r="W1" s="53" t="str">
        <x:v>December Budget Planner</x:v>
      </x:c>
      <x:c r="X1" s="53" t="str">
        <x:v>December Budget Planner</x:v>
      </x:c>
      <x:c r="Y1" s="53" t="str">
        <x:v>December Budget Planner</x:v>
      </x:c>
      <x:c r="Z1" s="53" t="str">
        <x:v>December Budget Planner</x:v>
      </x:c>
      <x:c r="AA1" s="53" t="str">
        <x:v>December Budget Planner</x:v>
      </x:c>
    </x:row>
    <x:row r="2">
      <x:c r="AC2" s="12" t="str">
        <x:v>Weekly Chart Data</x:v>
      </x:c>
      <x:c r="AD2" s="12" t="str">
        <x:v>Weekly Chart Data</x:v>
      </x:c>
      <x:c r="AE2" s="12" t="str">
        <x:v>Weekly Chart Data</x:v>
      </x:c>
      <x:c r="AF2" s="12" t="str">
        <x:v>Weekly Chart Data</x:v>
      </x:c>
    </x:row>
    <x:row r="3">
      <x:c r="A3" s="25" t="str">
        <x:v>Linked Allocation Rates</x:v>
      </x:c>
      <x:c r="B3" s="25" t="str">
        <x:v>Linked Allocation Rates</x:v>
      </x:c>
      <x:c r="C3" s="25" t="str">
        <x:v>Linked Allocation Rates</x:v>
      </x:c>
      <x:c r="D3" s="25" t="str">
        <x:v>Linked Allocation Rates</x:v>
      </x:c>
      <x:c r="F3" s="12" t="str">
        <x:v>Monthly Snapshot</x:v>
      </x:c>
      <x:c r="G3" s="12" t="str">
        <x:v>Monthly Snapshot</x:v>
      </x:c>
      <x:c r="H3" s="12" t="str">
        <x:v>Monthly Snapshot</x:v>
      </x:c>
      <x:c r="I3" s="12" t="str">
        <x:v>Monthly Snapshot</x:v>
      </x:c>
      <x:c r="J3" s="12" t="str">
        <x:v>Monthly Snapshot</x:v>
      </x:c>
      <x:c r="L3" s="35" t="str">
        <x:v>Spending Focus</x:v>
      </x:c>
      <x:c r="M3" s="35" t="str">
        <x:v>Spending Focus</x:v>
      </x:c>
      <x:c r="N3" s="35" t="str">
        <x:v>Spending Focus</x:v>
      </x:c>
      <x:c r="O3" s="35" t="str">
        <x:v>Spending Focus</x:v>
      </x:c>
      <x:c r="P3" s="35" t="str">
        <x:v>Spending Focus</x:v>
      </x:c>
      <x:c r="AC3" s="43" t="str">
        <x:v>Week</x:v>
      </x:c>
      <x:c r="AD3" s="43" t="str">
        <x:v>Income</x:v>
      </x:c>
      <x:c r="AE3" s="43" t="str">
        <x:v>Expenses</x:v>
      </x:c>
      <x:c r="AF3" s="43" t="str">
        <x:v>Allocations</x:v>
      </x:c>
    </x:row>
    <x:row r="4">
      <x:c r="A4" s="43" t="str">
        <x:v>Bucket</x:v>
      </x:c>
      <x:c r="B4" s="43" t="str">
        <x:v>Target %</x:v>
      </x:c>
      <x:c r="C4" s="43" t="str">
        <x:v>Effective %</x:v>
      </x:c>
      <x:c r="F4" s="55" t="str">
        <x:v>Income</x:v>
      </x:c>
      <x:c r="G4" s="69" t="n">
        <x:f>$B$59</x:f>
        <x:v>0</x:v>
      </x:c>
      <x:c r="L4" s="55" t="str">
        <x:v>Top category</x:v>
      </x:c>
      <x:c r="M4" s="62" t="str">
        <x:f>IF(MAX($E$60:$E$76)=0,"No spending yet",INDEX($D$60:$D$76,MATCH(MAX($E$60:$E$76),$E$60:$E$76,0)))</x:f>
        <x:v>No spending yet</x:v>
      </x:c>
      <x:c r="AC4" s="71" t="str">
        <x:v>Week 1</x:v>
      </x:c>
      <x:c r="AD4" s="86" t="n">
        <x:f>B20</x:f>
        <x:v>0</x:v>
      </x:c>
      <x:c r="AE4" s="86" t="n">
        <x:f>T20</x:f>
        <x:v>0</x:v>
      </x:c>
      <x:c r="AF4" s="86" t="n">
        <x:f>SUM(U20:Z20)</x:f>
        <x:v>0</x:v>
      </x:c>
    </x:row>
    <x:row r="5">
      <x:c r="A5" s="55" t="str">
        <x:v>TFSA / House %</x:v>
      </x:c>
      <x:c r="B5" s="90" t="n">
        <x:f>IF('Annual Overview'!$B$5="","",'Annual Overview'!$B$5)</x:f>
        <x:v>0.5</x:v>
      </x:c>
      <x:c r="C5" s="90" t="n">
        <x:f>'Annual Overview'!$C$5</x:f>
        <x:v>0.5</x:v>
      </x:c>
      <x:c r="F5" s="55" t="str">
        <x:v>Expenses</x:v>
      </x:c>
      <x:c r="G5" s="69" t="n">
        <x:f>$B$60</x:f>
        <x:v>0</x:v>
      </x:c>
      <x:c r="L5" s="55" t="str">
        <x:v>Top amount</x:v>
      </x:c>
      <x:c r="M5" s="69" t="n">
        <x:f>MAX($E$60:$E$76)</x:f>
        <x:v>0</x:v>
      </x:c>
      <x:c r="AC5" s="71" t="str">
        <x:v>Week 2</x:v>
      </x:c>
      <x:c r="AD5" s="86" t="n">
        <x:f>B31</x:f>
        <x:v>0</x:v>
      </x:c>
      <x:c r="AE5" s="86" t="n">
        <x:f>T31</x:f>
        <x:v>0</x:v>
      </x:c>
      <x:c r="AF5" s="86" t="n">
        <x:f>SUM(U31:Z31)</x:f>
        <x:v>0</x:v>
      </x:c>
    </x:row>
    <x:row r="6">
      <x:c r="A6" s="55" t="str">
        <x:v>Emergency fund %</x:v>
      </x:c>
      <x:c r="B6" s="90" t="str">
        <x:f>IF('Annual Overview'!$B$6="","",'Annual Overview'!$B$6)</x:f>
      </x:c>
      <x:c r="C6" s="90" t="n">
        <x:f>'Annual Overview'!$C$6</x:f>
        <x:v>0.1</x:v>
      </x:c>
      <x:c r="F6" s="55" t="str">
        <x:v>Net after allocations</x:v>
      </x:c>
      <x:c r="G6" s="69" t="n">
        <x:f>$B$69</x:f>
        <x:v>0</x:v>
      </x:c>
      <x:c r="L6" s="55" t="str">
        <x:v>3-month avg income</x:v>
      </x:c>
      <x:c r="M6" s="69" t="n">
        <x:f>'Annual Overview'!$X$15</x:f>
        <x:v>0</x:v>
      </x:c>
      <x:c r="AC6" s="71" t="str">
        <x:v>Week 3</x:v>
      </x:c>
      <x:c r="AD6" s="86" t="n">
        <x:f>B42</x:f>
        <x:v>0</x:v>
      </x:c>
      <x:c r="AE6" s="86" t="n">
        <x:f>T42</x:f>
        <x:v>0</x:v>
      </x:c>
      <x:c r="AF6" s="86" t="n">
        <x:f>SUM(U42:Z42)</x:f>
        <x:v>0</x:v>
      </x:c>
    </x:row>
    <x:row r="7">
      <x:c r="A7" s="55" t="str">
        <x:v>Other investments %</x:v>
      </x:c>
      <x:c r="B7" s="90" t="str">
        <x:f>IF('Annual Overview'!$B$7="","",'Annual Overview'!$B$7)</x:f>
      </x:c>
      <x:c r="C7" s="90" t="n">
        <x:f>'Annual Overview'!$C$7</x:f>
        <x:v>0.1</x:v>
      </x:c>
      <x:c r="L7" s="55" t="str">
        <x:v>3-month avg expenses</x:v>
      </x:c>
      <x:c r="M7" s="69" t="n">
        <x:f>'Annual Overview'!$Y$15</x:f>
        <x:v>0</x:v>
      </x:c>
      <x:c r="AC7" s="71" t="str">
        <x:v>Week 4</x:v>
      </x:c>
      <x:c r="AD7" s="86" t="n">
        <x:f>B53</x:f>
        <x:v>0</x:v>
      </x:c>
      <x:c r="AE7" s="86" t="n">
        <x:f>T53</x:f>
        <x:v>0</x:v>
      </x:c>
      <x:c r="AF7" s="86" t="n">
        <x:f>SUM(U53:Z53)</x:f>
        <x:v>0</x:v>
      </x:c>
    </x:row>
    <x:row r="8">
      <x:c r="A8" s="55" t="str">
        <x:v>Debt payoff %</x:v>
      </x:c>
      <x:c r="B8" s="90" t="str">
        <x:f>IF('Annual Overview'!$B$8="","",'Annual Overview'!$B$8)</x:f>
      </x:c>
      <x:c r="C8" s="90" t="n">
        <x:f>'Annual Overview'!$C$8</x:f>
        <x:v>0.1</x:v>
      </x:c>
      <x:c r="F8" s="55" t="str">
        <x:v>Allocation mode</x:v>
      </x:c>
      <x:c r="G8" s="91" t="str">
        <x:f>'Annual Overview'!$B$15</x:f>
        <x:v>Month-to-date smoothing</x:v>
      </x:c>
      <x:c r="L8" s="55" t="str">
        <x:v>Expense vs prior month</x:v>
      </x:c>
      <x:c r="M8" s="69" t="n">
        <x:f>'Annual Overview'!$Z$15</x:f>
        <x:v>0</x:v>
      </x:c>
    </x:row>
    <x:row r="9">
      <x:c r="A9" s="55" t="str">
        <x:v>Household reserve %</x:v>
      </x:c>
      <x:c r="B9" s="90" t="str">
        <x:f>IF('Annual Overview'!$B$9="","",'Annual Overview'!$B$9)</x:f>
      </x:c>
      <x:c r="C9" s="90" t="n">
        <x:f>'Annual Overview'!$C$9</x:f>
        <x:v>0.1</x:v>
      </x:c>
      <x:c r="L9" s="55" t="str">
        <x:v>Expense trend</x:v>
      </x:c>
      <x:c r="M9" s="62" t="str">
        <x:f>IF(M8&lt;0,"Reducing",IF(M8&gt;0,"Increasing","Flat / no change"))</x:f>
        <x:v>Flat / no change</x:v>
      </x:c>
    </x:row>
    <x:row r="10">
      <x:c r="A10" s="55" t="str">
        <x:v>Travel/Gifts fund %</x:v>
      </x:c>
      <x:c r="B10" s="90" t="str">
        <x:f>IF('Annual Overview'!$B$10="","",'Annual Overview'!$B$10)</x:f>
      </x:c>
      <x:c r="C10" s="90" t="n">
        <x:f>'Annual Overview'!$C$10</x:f>
        <x:v>0.1</x:v>
      </x:c>
    </x:row>
    <x:row r="11">
      <x:c r="A11" s="55" t="str">
        <x:v>Effective allocation total %</x:v>
      </x:c>
      <x:c r="B11" s="90" t="str">
        <x:f>""</x:f>
      </x:c>
      <x:c r="C11" s="90" t="n">
        <x:f>'Annual Overview'!$C$11</x:f>
        <x:v>0.9999999999999999</x:v>
      </x:c>
    </x:row>
    <x:row r="12">
      <x:c r="A12" s="55" t="str">
        <x:v>Remaining unallocated %</x:v>
      </x:c>
      <x:c r="B12" s="90" t="str">
        <x:f>""</x:f>
      </x:c>
      <x:c r="C12" s="90" t="n">
        <x:f>'Annual Overview'!$C$12</x:f>
        <x:v>1.1102230246251565e-16</x:v>
      </x:c>
    </x:row>
    <x:row r="13">
      <x:c r="A13" s="12" t="str">
        <x:v>Week 1</x:v>
      </x:c>
      <x:c r="B13" s="12" t="str">
        <x:v>Week 1</x:v>
      </x:c>
      <x:c r="C13" s="12" t="str">
        <x:v>Week 1</x:v>
      </x:c>
      <x:c r="D13" s="12" t="str">
        <x:v>Week 1</x:v>
      </x:c>
      <x:c r="E13" s="12" t="str">
        <x:v>Week 1</x:v>
      </x:c>
      <x:c r="F13" s="12" t="str">
        <x:v>Week 1</x:v>
      </x:c>
      <x:c r="G13" s="12" t="str">
        <x:v>Week 1</x:v>
      </x:c>
      <x:c r="H13" s="12" t="str">
        <x:v>Week 1</x:v>
      </x:c>
      <x:c r="I13" s="12" t="str">
        <x:v>Week 1</x:v>
      </x:c>
      <x:c r="J13" s="12" t="str">
        <x:v>Week 1</x:v>
      </x:c>
      <x:c r="K13" s="12" t="str">
        <x:v>Week 1</x:v>
      </x:c>
      <x:c r="L13" s="12" t="str">
        <x:v>Week 1</x:v>
      </x:c>
      <x:c r="M13" s="12" t="str">
        <x:v>Week 1</x:v>
      </x:c>
      <x:c r="N13" s="12" t="str">
        <x:v>Week 1</x:v>
      </x:c>
      <x:c r="O13" s="12" t="str">
        <x:v>Week 1</x:v>
      </x:c>
      <x:c r="P13" s="12" t="str">
        <x:v>Week 1</x:v>
      </x:c>
      <x:c r="Q13" s="12" t="str">
        <x:v>Week 1</x:v>
      </x:c>
      <x:c r="R13" s="12" t="str">
        <x:v>Week 1</x:v>
      </x:c>
      <x:c r="S13" s="12" t="str">
        <x:v>Week 1</x:v>
      </x:c>
      <x:c r="T13" s="12" t="str">
        <x:v>Week 1</x:v>
      </x:c>
      <x:c r="U13" s="12" t="str">
        <x:v>Week 1</x:v>
      </x:c>
      <x:c r="V13" s="12" t="str">
        <x:v>Week 1</x:v>
      </x:c>
      <x:c r="W13" s="12" t="str">
        <x:v>Week 1</x:v>
      </x:c>
      <x:c r="X13" s="12" t="str">
        <x:v>Week 1</x:v>
      </x:c>
      <x:c r="Y13" s="12" t="str">
        <x:v>Week 1</x:v>
      </x:c>
      <x:c r="Z13" s="12" t="str">
        <x:v>Week 1</x:v>
      </x:c>
      <x:c r="AA13" s="12" t="str">
        <x:v>Week 1</x:v>
      </x:c>
    </x:row>
    <x:row r="14">
      <x:c r="A14" s="43" t="str">
        <x:v>Date / note</x:v>
      </x:c>
      <x:c r="B14" s="43" t="str">
        <x:v>Income</x:v>
      </x:c>
      <x:c r="C14" s="43" t="str">
        <x:v>CIBC</x:v>
      </x:c>
      <x:c r="D14" s="43" t="str">
        <x:v>RBC</x:v>
      </x:c>
      <x:c r="E14" s="43" t="str">
        <x:v>AMEX</x:v>
      </x:c>
      <x:c r="F14" s="43" t="str">
        <x:v>Wealthsimple</x:v>
      </x:c>
      <x:c r="G14" s="43" t="str">
        <x:v>Triangle</x:v>
      </x:c>
      <x:c r="H14" s="43" t="str">
        <x:v>Other Credit Cards</x:v>
      </x:c>
      <x:c r="I14" s="43" t="str">
        <x:v>Food</x:v>
      </x:c>
      <x:c r="J14" s="43" t="str">
        <x:v>Cars</x:v>
      </x:c>
      <x:c r="K14" s="43" t="str">
        <x:v>House</x:v>
      </x:c>
      <x:c r="L14" s="43" t="str">
        <x:v>Travel</x:v>
      </x:c>
      <x:c r="M14" s="43" t="str">
        <x:v>Gift/Education</x:v>
      </x:c>
      <x:c r="N14" s="43" t="str">
        <x:f>'Annual Overview'!$A$45</x:f>
        <x:v>Custom 1</x:v>
      </x:c>
      <x:c r="O14" s="43" t="str">
        <x:f>'Annual Overview'!$A$46</x:f>
        <x:v>Custom 2</x:v>
      </x:c>
      <x:c r="P14" s="43" t="str">
        <x:f>'Annual Overview'!$A$47</x:f>
        <x:v>Custom 3</x:v>
      </x:c>
      <x:c r="Q14" s="43" t="str">
        <x:v>Business</x:v>
      </x:c>
      <x:c r="R14" s="43" t="str">
        <x:v>Monthly Subscription / Utilities</x:v>
      </x:c>
      <x:c r="S14" s="43" t="str">
        <x:v>Others</x:v>
      </x:c>
      <x:c r="T14" s="43" t="str">
        <x:v>Total expenses</x:v>
      </x:c>
      <x:c r="U14" s="43" t="str">
        <x:v>TFSA / House target</x:v>
      </x:c>
      <x:c r="V14" s="43" t="str">
        <x:v>Emergency fund target</x:v>
      </x:c>
      <x:c r="W14" s="43" t="str">
        <x:v>Other investments target</x:v>
      </x:c>
      <x:c r="X14" s="43" t="str">
        <x:v>Debt payoff target</x:v>
      </x:c>
      <x:c r="Y14" s="43" t="str">
        <x:v>Household reserve target</x:v>
      </x:c>
      <x:c r="Z14" s="43" t="str">
        <x:v>Travel/Gifts fund target</x:v>
      </x:c>
      <x:c r="AA14" s="43" t="str">
        <x:v>Net cash flow</x:v>
      </x:c>
    </x:row>
    <x:row r="15">
      <x:c r="A15" s="92"/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86" t="n">
        <x:f>SUM(C15:S15)</x:f>
        <x:v>0</x:v>
      </x:c>
      <x:c r="U15" s="86"/>
      <x:c r="V15" s="86"/>
      <x:c r="W15" s="86"/>
      <x:c r="X15" s="86"/>
      <x:c r="Y15" s="86"/>
      <x:c r="Z15" s="86"/>
      <x:c r="AA15" s="86" t="n">
        <x:f>B15-T15</x:f>
        <x:v>0</x:v>
      </x:c>
    </x:row>
    <x:row r="16">
      <x:c r="A16" s="92"/>
      <x:c r="B16" s="94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86" t="n">
        <x:f>SUM(C16:S16)</x:f>
        <x:v>0</x:v>
      </x:c>
      <x:c r="U16" s="86"/>
      <x:c r="V16" s="86"/>
      <x:c r="W16" s="86"/>
      <x:c r="X16" s="86"/>
      <x:c r="Y16" s="86"/>
      <x:c r="Z16" s="86"/>
      <x:c r="AA16" s="86" t="n">
        <x:f>B16-T16</x:f>
        <x:v>0</x:v>
      </x:c>
    </x:row>
    <x:row r="17">
      <x:c r="A17" s="92"/>
      <x:c r="B17" s="94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86" t="n">
        <x:f>SUM(C17:S17)</x:f>
        <x:v>0</x:v>
      </x:c>
      <x:c r="U17" s="86"/>
      <x:c r="V17" s="86"/>
      <x:c r="W17" s="86"/>
      <x:c r="X17" s="86"/>
      <x:c r="Y17" s="86"/>
      <x:c r="Z17" s="86"/>
      <x:c r="AA17" s="86" t="n">
        <x:f>B17-T17</x:f>
        <x:v>0</x:v>
      </x:c>
    </x:row>
    <x:row r="18">
      <x:c r="A18" s="92"/>
      <x:c r="B18" s="94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  <x:c r="T18" s="86" t="n">
        <x:f>SUM(C18:S18)</x:f>
        <x:v>0</x:v>
      </x:c>
      <x:c r="U18" s="86"/>
      <x:c r="V18" s="86"/>
      <x:c r="W18" s="86"/>
      <x:c r="X18" s="86"/>
      <x:c r="Y18" s="86"/>
      <x:c r="Z18" s="86"/>
      <x:c r="AA18" s="86" t="n">
        <x:f>B18-T18</x:f>
        <x:v>0</x:v>
      </x:c>
    </x:row>
    <x:row r="19">
      <x:c r="A19" s="92"/>
      <x:c r="B19" s="94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  <x:c r="T19" s="86" t="n">
        <x:f>SUM(C19:S19)</x:f>
        <x:v>0</x:v>
      </x:c>
      <x:c r="U19" s="86"/>
      <x:c r="V19" s="86"/>
      <x:c r="W19" s="86"/>
      <x:c r="X19" s="86"/>
      <x:c r="Y19" s="86"/>
      <x:c r="Z19" s="86"/>
      <x:c r="AA19" s="86" t="n">
        <x:f>B19-T19</x:f>
        <x:v>0</x:v>
      </x:c>
    </x:row>
    <x:row r="20">
      <x:c r="A20" s="82" t="str">
        <x:v>Weekly total</x:v>
      </x:c>
      <x:c r="B20" s="83" t="n">
        <x:f>SUM(B15:B19)</x:f>
        <x:v>0</x:v>
      </x:c>
      <x:c r="C20" s="83" t="n">
        <x:f>SUM(C15:C19)</x:f>
        <x:v>0</x:v>
      </x:c>
      <x:c r="D20" s="83" t="n">
        <x:f>SUM(D15:D19)</x:f>
        <x:v>0</x:v>
      </x:c>
      <x:c r="E20" s="83" t="n">
        <x:f>SUM(E15:E19)</x:f>
        <x:v>0</x:v>
      </x:c>
      <x:c r="F20" s="83" t="n">
        <x:f>SUM(F15:F19)</x:f>
        <x:v>0</x:v>
      </x:c>
      <x:c r="G20" s="83" t="n">
        <x:f>SUM(G15:G19)</x:f>
        <x:v>0</x:v>
      </x:c>
      <x:c r="H20" s="83" t="n">
        <x:f>SUM(H15:H19)</x:f>
        <x:v>0</x:v>
      </x:c>
      <x:c r="I20" s="83" t="n">
        <x:f>SUM(I15:I19)</x:f>
        <x:v>0</x:v>
      </x:c>
      <x:c r="J20" s="83" t="n">
        <x:f>SUM(J15:J19)</x:f>
        <x:v>0</x:v>
      </x:c>
      <x:c r="K20" s="83" t="n">
        <x:f>SUM(K15:K19)</x:f>
        <x:v>0</x:v>
      </x:c>
      <x:c r="L20" s="83" t="n">
        <x:f>SUM(L15:L19)</x:f>
        <x:v>0</x:v>
      </x:c>
      <x:c r="M20" s="83" t="n">
        <x:f>SUM(M15:M19)</x:f>
        <x:v>0</x:v>
      </x:c>
      <x:c r="N20" s="83" t="n">
        <x:f>SUM(N15:N19)</x:f>
        <x:v>0</x:v>
      </x:c>
      <x:c r="O20" s="83" t="n">
        <x:f>SUM(O15:O19)</x:f>
        <x:v>0</x:v>
      </x:c>
      <x:c r="P20" s="83" t="n">
        <x:f>SUM(P15:P19)</x:f>
        <x:v>0</x:v>
      </x:c>
      <x:c r="Q20" s="83" t="n">
        <x:f>SUM(Q15:Q19)</x:f>
        <x:v>0</x:v>
      </x:c>
      <x:c r="R20" s="83" t="n">
        <x:f>SUM(R15:R19)</x:f>
        <x:v>0</x:v>
      </x:c>
      <x:c r="S20" s="83" t="n">
        <x:f>SUM(S15:S19)</x:f>
        <x:v>0</x:v>
      </x:c>
      <x:c r="T20" s="83" t="n">
        <x:f>SUM(T15:T19)</x:f>
        <x:v>0</x:v>
      </x:c>
      <x:c r="U20" s="83" t="n">
        <x:f>IF('Annual Overview'!$B$15="Independent weekly",MAX(B20-T20,0)*'Annual Overview'!$C$5,MAX(SUM(B20)-SUM(T20),0)*'Annual Overview'!$C$5-0)</x:f>
        <x:v>0</x:v>
      </x:c>
      <x:c r="V20" s="83" t="n">
        <x:f>IF('Annual Overview'!$B$15="Independent weekly",MAX(B20-T20,0)*'Annual Overview'!$C$6,MAX(SUM(B20)-SUM(T20),0)*'Annual Overview'!$C$6-0)</x:f>
        <x:v>0</x:v>
      </x:c>
      <x:c r="W20" s="83" t="n">
        <x:f>IF('Annual Overview'!$B$15="Independent weekly",MAX(B20-T20,0)*'Annual Overview'!$C$7,MAX(SUM(B20)-SUM(T20),0)*'Annual Overview'!$C$7-0)</x:f>
        <x:v>0</x:v>
      </x:c>
      <x:c r="X20" s="83" t="n">
        <x:f>IF('Annual Overview'!$B$15="Independent weekly",MAX(B20-T20,0)*'Annual Overview'!$C$8,MAX(SUM(B20)-SUM(T20),0)*'Annual Overview'!$C$8-0)</x:f>
        <x:v>0</x:v>
      </x:c>
      <x:c r="Y20" s="83" t="n">
        <x:f>IF('Annual Overview'!$B$15="Independent weekly",MAX(B20-T20,0)*'Annual Overview'!$C$9,MAX(SUM(B20)-SUM(T20),0)*'Annual Overview'!$C$9-0)</x:f>
        <x:v>0</x:v>
      </x:c>
      <x:c r="Z20" s="83" t="n">
        <x:f>IF('Annual Overview'!$B$15="Independent weekly",MAX(B20-T20,0)*'Annual Overview'!$C$10,MAX(SUM(B20)-SUM(T20),0)*'Annual Overview'!$C$10-0)</x:f>
        <x:v>0</x:v>
      </x:c>
      <x:c r="AA20" s="83" t="n">
        <x:f>B20-T20-SUM(U20:Z20)</x:f>
        <x:v>0</x:v>
      </x:c>
    </x:row>
    <x:row r="24">
      <x:c r="A24" s="35" t="str">
        <x:v>Week 2</x:v>
      </x:c>
      <x:c r="B24" s="35" t="str">
        <x:v>Week 2</x:v>
      </x:c>
      <x:c r="C24" s="35" t="str">
        <x:v>Week 2</x:v>
      </x:c>
      <x:c r="D24" s="35" t="str">
        <x:v>Week 2</x:v>
      </x:c>
      <x:c r="E24" s="35" t="str">
        <x:v>Week 2</x:v>
      </x:c>
      <x:c r="F24" s="35" t="str">
        <x:v>Week 2</x:v>
      </x:c>
      <x:c r="G24" s="35" t="str">
        <x:v>Week 2</x:v>
      </x:c>
      <x:c r="H24" s="35" t="str">
        <x:v>Week 2</x:v>
      </x:c>
      <x:c r="I24" s="35" t="str">
        <x:v>Week 2</x:v>
      </x:c>
      <x:c r="J24" s="35" t="str">
        <x:v>Week 2</x:v>
      </x:c>
      <x:c r="K24" s="35" t="str">
        <x:v>Week 2</x:v>
      </x:c>
      <x:c r="L24" s="35" t="str">
        <x:v>Week 2</x:v>
      </x:c>
      <x:c r="M24" s="35" t="str">
        <x:v>Week 2</x:v>
      </x:c>
      <x:c r="N24" s="35" t="str">
        <x:v>Week 2</x:v>
      </x:c>
      <x:c r="O24" s="35" t="str">
        <x:v>Week 2</x:v>
      </x:c>
      <x:c r="P24" s="35" t="str">
        <x:v>Week 2</x:v>
      </x:c>
      <x:c r="Q24" s="35" t="str">
        <x:v>Week 2</x:v>
      </x:c>
      <x:c r="R24" s="35" t="str">
        <x:v>Week 2</x:v>
      </x:c>
      <x:c r="S24" s="35" t="str">
        <x:v>Week 2</x:v>
      </x:c>
      <x:c r="T24" s="35" t="str">
        <x:v>Week 2</x:v>
      </x:c>
      <x:c r="U24" s="35" t="str">
        <x:v>Week 2</x:v>
      </x:c>
      <x:c r="V24" s="35" t="str">
        <x:v>Week 2</x:v>
      </x:c>
      <x:c r="W24" s="35" t="str">
        <x:v>Week 2</x:v>
      </x:c>
      <x:c r="X24" s="35" t="str">
        <x:v>Week 2</x:v>
      </x:c>
      <x:c r="Y24" s="35" t="str">
        <x:v>Week 2</x:v>
      </x:c>
      <x:c r="Z24" s="35" t="str">
        <x:v>Week 2</x:v>
      </x:c>
      <x:c r="AA24" s="35" t="str">
        <x:v>Week 2</x:v>
      </x:c>
    </x:row>
    <x:row r="25">
      <x:c r="A25" s="43" t="str">
        <x:v>Date / note</x:v>
      </x:c>
      <x:c r="B25" s="43" t="str">
        <x:v>Income</x:v>
      </x:c>
      <x:c r="C25" s="43" t="str">
        <x:v>CIBC</x:v>
      </x:c>
      <x:c r="D25" s="43" t="str">
        <x:v>RBC</x:v>
      </x:c>
      <x:c r="E25" s="43" t="str">
        <x:v>AMEX</x:v>
      </x:c>
      <x:c r="F25" s="43" t="str">
        <x:v>Wealthsimple</x:v>
      </x:c>
      <x:c r="G25" s="43" t="str">
        <x:v>Triangle</x:v>
      </x:c>
      <x:c r="H25" s="43" t="str">
        <x:v>Other Credit Cards</x:v>
      </x:c>
      <x:c r="I25" s="43" t="str">
        <x:v>Food</x:v>
      </x:c>
      <x:c r="J25" s="43" t="str">
        <x:v>Cars</x:v>
      </x:c>
      <x:c r="K25" s="43" t="str">
        <x:v>House</x:v>
      </x:c>
      <x:c r="L25" s="43" t="str">
        <x:v>Travel</x:v>
      </x:c>
      <x:c r="M25" s="43" t="str">
        <x:v>Gift/Education</x:v>
      </x:c>
      <x:c r="N25" s="43" t="str">
        <x:f>'Annual Overview'!$A$45</x:f>
        <x:v>Custom 1</x:v>
      </x:c>
      <x:c r="O25" s="43" t="str">
        <x:f>'Annual Overview'!$A$46</x:f>
        <x:v>Custom 2</x:v>
      </x:c>
      <x:c r="P25" s="43" t="str">
        <x:f>'Annual Overview'!$A$47</x:f>
        <x:v>Custom 3</x:v>
      </x:c>
      <x:c r="Q25" s="43" t="str">
        <x:v>Business</x:v>
      </x:c>
      <x:c r="R25" s="43" t="str">
        <x:v>Monthly Subscription / Utilities</x:v>
      </x:c>
      <x:c r="S25" s="43" t="str">
        <x:v>Others</x:v>
      </x:c>
      <x:c r="T25" s="43" t="str">
        <x:v>Total expenses</x:v>
      </x:c>
      <x:c r="U25" s="43" t="str">
        <x:v>TFSA / House target</x:v>
      </x:c>
      <x:c r="V25" s="43" t="str">
        <x:v>Emergency fund target</x:v>
      </x:c>
      <x:c r="W25" s="43" t="str">
        <x:v>Other investments target</x:v>
      </x:c>
      <x:c r="X25" s="43" t="str">
        <x:v>Debt payoff target</x:v>
      </x:c>
      <x:c r="Y25" s="43" t="str">
        <x:v>Household reserve target</x:v>
      </x:c>
      <x:c r="Z25" s="43" t="str">
        <x:v>Travel/Gifts fund target</x:v>
      </x:c>
      <x:c r="AA25" s="43" t="str">
        <x:v>Net cash flow</x:v>
      </x:c>
    </x:row>
    <x:row r="26">
      <x:c r="A26" s="92"/>
      <x:c r="B26" s="94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  <x:c r="T26" s="86" t="n">
        <x:f>SUM(C26:S26)</x:f>
        <x:v>0</x:v>
      </x:c>
      <x:c r="U26" s="86"/>
      <x:c r="V26" s="86"/>
      <x:c r="W26" s="86"/>
      <x:c r="X26" s="86"/>
      <x:c r="Y26" s="86"/>
      <x:c r="Z26" s="86"/>
      <x:c r="AA26" s="86" t="n">
        <x:f>B26-T26</x:f>
        <x:v>0</x:v>
      </x:c>
    </x:row>
    <x:row r="27">
      <x:c r="A27" s="92"/>
      <x:c r="B27" s="94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  <x:c r="T27" s="86" t="n">
        <x:f>SUM(C27:S27)</x:f>
        <x:v>0</x:v>
      </x:c>
      <x:c r="U27" s="86"/>
      <x:c r="V27" s="86"/>
      <x:c r="W27" s="86"/>
      <x:c r="X27" s="86"/>
      <x:c r="Y27" s="86"/>
      <x:c r="Z27" s="86"/>
      <x:c r="AA27" s="86" t="n">
        <x:f>B27-T27</x:f>
        <x:v>0</x:v>
      </x:c>
      <x:c r="AC27" s="35" t="str">
        <x:v>3-Month Trend Data</x:v>
      </x:c>
      <x:c r="AD27" s="35" t="str">
        <x:v>3-Month Trend Data</x:v>
      </x:c>
      <x:c r="AE27" s="35" t="str">
        <x:v>3-Month Trend Data</x:v>
      </x:c>
    </x:row>
    <x:row r="28">
      <x:c r="A28" s="92"/>
      <x:c r="B28" s="94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  <x:c r="T28" s="86" t="n">
        <x:f>SUM(C28:S28)</x:f>
        <x:v>0</x:v>
      </x:c>
      <x:c r="U28" s="86"/>
      <x:c r="V28" s="86"/>
      <x:c r="W28" s="86"/>
      <x:c r="X28" s="86"/>
      <x:c r="Y28" s="86"/>
      <x:c r="Z28" s="86"/>
      <x:c r="AA28" s="86" t="n">
        <x:f>B28-T28</x:f>
        <x:v>0</x:v>
      </x:c>
      <x:c r="AC28" s="43" t="str">
        <x:v>Month</x:v>
      </x:c>
      <x:c r="AD28" s="43" t="str">
        <x:v>Income</x:v>
      </x:c>
      <x:c r="AE28" s="43" t="str">
        <x:v>Expenses</x:v>
      </x:c>
    </x:row>
    <x:row r="29">
      <x:c r="A29" s="92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86" t="n">
        <x:f>SUM(C29:S29)</x:f>
        <x:v>0</x:v>
      </x:c>
      <x:c r="U29" s="86"/>
      <x:c r="V29" s="86"/>
      <x:c r="W29" s="86"/>
      <x:c r="X29" s="86"/>
      <x:c r="Y29" s="86"/>
      <x:c r="Z29" s="86"/>
      <x:c r="AA29" s="86" t="n">
        <x:f>B29-T29</x:f>
        <x:v>0</x:v>
      </x:c>
      <x:c r="AC29" s="71" t="str">
        <x:v>Oct</x:v>
      </x:c>
      <x:c r="AD29" s="86" t="n">
        <x:f>'Annual Overview'!$B$27</x:f>
        <x:v>0</x:v>
      </x:c>
      <x:c r="AE29" s="86" t="n">
        <x:f>'Annual Overview'!$C$27</x:f>
        <x:v>0</x:v>
      </x:c>
    </x:row>
    <x:row r="30">
      <x:c r="A30" s="92"/>
      <x:c r="B30" s="94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  <x:c r="T30" s="86" t="n">
        <x:f>SUM(C30:S30)</x:f>
        <x:v>0</x:v>
      </x:c>
      <x:c r="U30" s="86"/>
      <x:c r="V30" s="86"/>
      <x:c r="W30" s="86"/>
      <x:c r="X30" s="86"/>
      <x:c r="Y30" s="86"/>
      <x:c r="Z30" s="86"/>
      <x:c r="AA30" s="86" t="n">
        <x:f>B30-T30</x:f>
        <x:v>0</x:v>
      </x:c>
      <x:c r="AC30" s="71" t="str">
        <x:v>Nov</x:v>
      </x:c>
      <x:c r="AD30" s="86" t="n">
        <x:f>'Annual Overview'!$B$28</x:f>
        <x:v>0</x:v>
      </x:c>
      <x:c r="AE30" s="86" t="n">
        <x:f>'Annual Overview'!$C$28</x:f>
        <x:v>0</x:v>
      </x:c>
    </x:row>
    <x:row r="31">
      <x:c r="A31" s="82" t="str">
        <x:v>Weekly total</x:v>
      </x:c>
      <x:c r="B31" s="83" t="n">
        <x:f>SUM(B26:B30)</x:f>
        <x:v>0</x:v>
      </x:c>
      <x:c r="C31" s="83" t="n">
        <x:f>SUM(C26:C30)</x:f>
        <x:v>0</x:v>
      </x:c>
      <x:c r="D31" s="83" t="n">
        <x:f>SUM(D26:D30)</x:f>
        <x:v>0</x:v>
      </x:c>
      <x:c r="E31" s="83" t="n">
        <x:f>SUM(E26:E30)</x:f>
        <x:v>0</x:v>
      </x:c>
      <x:c r="F31" s="83" t="n">
        <x:f>SUM(F26:F30)</x:f>
        <x:v>0</x:v>
      </x:c>
      <x:c r="G31" s="83" t="n">
        <x:f>SUM(G26:G30)</x:f>
        <x:v>0</x:v>
      </x:c>
      <x:c r="H31" s="83" t="n">
        <x:f>SUM(H26:H30)</x:f>
        <x:v>0</x:v>
      </x:c>
      <x:c r="I31" s="83" t="n">
        <x:f>SUM(I26:I30)</x:f>
        <x:v>0</x:v>
      </x:c>
      <x:c r="J31" s="83" t="n">
        <x:f>SUM(J26:J30)</x:f>
        <x:v>0</x:v>
      </x:c>
      <x:c r="K31" s="83" t="n">
        <x:f>SUM(K26:K30)</x:f>
        <x:v>0</x:v>
      </x:c>
      <x:c r="L31" s="83" t="n">
        <x:f>SUM(L26:L30)</x:f>
        <x:v>0</x:v>
      </x:c>
      <x:c r="M31" s="83" t="n">
        <x:f>SUM(M26:M30)</x:f>
        <x:v>0</x:v>
      </x:c>
      <x:c r="N31" s="83" t="n">
        <x:f>SUM(N26:N30)</x:f>
        <x:v>0</x:v>
      </x:c>
      <x:c r="O31" s="83" t="n">
        <x:f>SUM(O26:O30)</x:f>
        <x:v>0</x:v>
      </x:c>
      <x:c r="P31" s="83" t="n">
        <x:f>SUM(P26:P30)</x:f>
        <x:v>0</x:v>
      </x:c>
      <x:c r="Q31" s="83" t="n">
        <x:f>SUM(Q26:Q30)</x:f>
        <x:v>0</x:v>
      </x:c>
      <x:c r="R31" s="83" t="n">
        <x:f>SUM(R26:R30)</x:f>
        <x:v>0</x:v>
      </x:c>
      <x:c r="S31" s="83" t="n">
        <x:f>SUM(S26:S30)</x:f>
        <x:v>0</x:v>
      </x:c>
      <x:c r="T31" s="83" t="n">
        <x:f>SUM(T26:T30)</x:f>
        <x:v>0</x:v>
      </x:c>
      <x:c r="U31" s="83" t="n">
        <x:f>IF('Annual Overview'!$B$15="Independent weekly",MAX(B31-T31,0)*'Annual Overview'!$C$5,MAX(SUM(B20,B31)-SUM(T20,T31),0)*'Annual Overview'!$C$5-SUM(U20))</x:f>
        <x:v>0</x:v>
      </x:c>
      <x:c r="V31" s="83" t="n">
        <x:f>IF('Annual Overview'!$B$15="Independent weekly",MAX(B31-T31,0)*'Annual Overview'!$C$6,MAX(SUM(B20,B31)-SUM(T20,T31),0)*'Annual Overview'!$C$6-SUM(V20))</x:f>
        <x:v>0</x:v>
      </x:c>
      <x:c r="W31" s="83" t="n">
        <x:f>IF('Annual Overview'!$B$15="Independent weekly",MAX(B31-T31,0)*'Annual Overview'!$C$7,MAX(SUM(B20,B31)-SUM(T20,T31),0)*'Annual Overview'!$C$7-SUM(W20))</x:f>
        <x:v>0</x:v>
      </x:c>
      <x:c r="X31" s="83" t="n">
        <x:f>IF('Annual Overview'!$B$15="Independent weekly",MAX(B31-T31,0)*'Annual Overview'!$C$8,MAX(SUM(B20,B31)-SUM(T20,T31),0)*'Annual Overview'!$C$8-SUM(X20))</x:f>
        <x:v>0</x:v>
      </x:c>
      <x:c r="Y31" s="83" t="n">
        <x:f>IF('Annual Overview'!$B$15="Independent weekly",MAX(B31-T31,0)*'Annual Overview'!$C$9,MAX(SUM(B20,B31)-SUM(T20,T31),0)*'Annual Overview'!$C$9-SUM(Y20))</x:f>
        <x:v>0</x:v>
      </x:c>
      <x:c r="Z31" s="83" t="n">
        <x:f>IF('Annual Overview'!$B$15="Independent weekly",MAX(B31-T31,0)*'Annual Overview'!$C$10,MAX(SUM(B20,B31)-SUM(T20,T31),0)*'Annual Overview'!$C$10-SUM(Z20))</x:f>
        <x:v>0</x:v>
      </x:c>
      <x:c r="AA31" s="83" t="n">
        <x:f>B31-T31-SUM(U31:Z31)</x:f>
        <x:v>0</x:v>
      </x:c>
      <x:c r="AC31" s="71" t="str">
        <x:v>Dec</x:v>
      </x:c>
      <x:c r="AD31" s="86" t="n">
        <x:f>'Annual Overview'!$B$29</x:f>
        <x:v>0</x:v>
      </x:c>
      <x:c r="AE31" s="86" t="n">
        <x:f>'Annual Overview'!$C$29</x:f>
        <x:v>0</x:v>
      </x:c>
    </x:row>
    <x:row r="35">
      <x:c r="A35" s="12" t="str">
        <x:v>Week 3</x:v>
      </x:c>
      <x:c r="B35" s="12" t="str">
        <x:v>Week 3</x:v>
      </x:c>
      <x:c r="C35" s="12" t="str">
        <x:v>Week 3</x:v>
      </x:c>
      <x:c r="D35" s="12" t="str">
        <x:v>Week 3</x:v>
      </x:c>
      <x:c r="E35" s="12" t="str">
        <x:v>Week 3</x:v>
      </x:c>
      <x:c r="F35" s="12" t="str">
        <x:v>Week 3</x:v>
      </x:c>
      <x:c r="G35" s="12" t="str">
        <x:v>Week 3</x:v>
      </x:c>
      <x:c r="H35" s="12" t="str">
        <x:v>Week 3</x:v>
      </x:c>
      <x:c r="I35" s="12" t="str">
        <x:v>Week 3</x:v>
      </x:c>
      <x:c r="J35" s="12" t="str">
        <x:v>Week 3</x:v>
      </x:c>
      <x:c r="K35" s="12" t="str">
        <x:v>Week 3</x:v>
      </x:c>
      <x:c r="L35" s="12" t="str">
        <x:v>Week 3</x:v>
      </x:c>
      <x:c r="M35" s="12" t="str">
        <x:v>Week 3</x:v>
      </x:c>
      <x:c r="N35" s="12" t="str">
        <x:v>Week 3</x:v>
      </x:c>
      <x:c r="O35" s="12" t="str">
        <x:v>Week 3</x:v>
      </x:c>
      <x:c r="P35" s="12" t="str">
        <x:v>Week 3</x:v>
      </x:c>
      <x:c r="Q35" s="12" t="str">
        <x:v>Week 3</x:v>
      </x:c>
      <x:c r="R35" s="12" t="str">
        <x:v>Week 3</x:v>
      </x:c>
      <x:c r="S35" s="12" t="str">
        <x:v>Week 3</x:v>
      </x:c>
      <x:c r="T35" s="12" t="str">
        <x:v>Week 3</x:v>
      </x:c>
      <x:c r="U35" s="12" t="str">
        <x:v>Week 3</x:v>
      </x:c>
      <x:c r="V35" s="12" t="str">
        <x:v>Week 3</x:v>
      </x:c>
      <x:c r="W35" s="12" t="str">
        <x:v>Week 3</x:v>
      </x:c>
      <x:c r="X35" s="12" t="str">
        <x:v>Week 3</x:v>
      </x:c>
      <x:c r="Y35" s="12" t="str">
        <x:v>Week 3</x:v>
      </x:c>
      <x:c r="Z35" s="12" t="str">
        <x:v>Week 3</x:v>
      </x:c>
      <x:c r="AA35" s="12" t="str">
        <x:v>Week 3</x:v>
      </x:c>
    </x:row>
    <x:row r="36">
      <x:c r="A36" s="43" t="str">
        <x:v>Date / note</x:v>
      </x:c>
      <x:c r="B36" s="43" t="str">
        <x:v>Income</x:v>
      </x:c>
      <x:c r="C36" s="43" t="str">
        <x:v>CIBC</x:v>
      </x:c>
      <x:c r="D36" s="43" t="str">
        <x:v>RBC</x:v>
      </x:c>
      <x:c r="E36" s="43" t="str">
        <x:v>AMEX</x:v>
      </x:c>
      <x:c r="F36" s="43" t="str">
        <x:v>Wealthsimple</x:v>
      </x:c>
      <x:c r="G36" s="43" t="str">
        <x:v>Triangle</x:v>
      </x:c>
      <x:c r="H36" s="43" t="str">
        <x:v>Other Credit Cards</x:v>
      </x:c>
      <x:c r="I36" s="43" t="str">
        <x:v>Food</x:v>
      </x:c>
      <x:c r="J36" s="43" t="str">
        <x:v>Cars</x:v>
      </x:c>
      <x:c r="K36" s="43" t="str">
        <x:v>House</x:v>
      </x:c>
      <x:c r="L36" s="43" t="str">
        <x:v>Travel</x:v>
      </x:c>
      <x:c r="M36" s="43" t="str">
        <x:v>Gift/Education</x:v>
      </x:c>
      <x:c r="N36" s="43" t="str">
        <x:f>'Annual Overview'!$A$45</x:f>
        <x:v>Custom 1</x:v>
      </x:c>
      <x:c r="O36" s="43" t="str">
        <x:f>'Annual Overview'!$A$46</x:f>
        <x:v>Custom 2</x:v>
      </x:c>
      <x:c r="P36" s="43" t="str">
        <x:f>'Annual Overview'!$A$47</x:f>
        <x:v>Custom 3</x:v>
      </x:c>
      <x:c r="Q36" s="43" t="str">
        <x:v>Business</x:v>
      </x:c>
      <x:c r="R36" s="43" t="str">
        <x:v>Monthly Subscription / Utilities</x:v>
      </x:c>
      <x:c r="S36" s="43" t="str">
        <x:v>Others</x:v>
      </x:c>
      <x:c r="T36" s="43" t="str">
        <x:v>Total expenses</x:v>
      </x:c>
      <x:c r="U36" s="43" t="str">
        <x:v>TFSA / House target</x:v>
      </x:c>
      <x:c r="V36" s="43" t="str">
        <x:v>Emergency fund target</x:v>
      </x:c>
      <x:c r="W36" s="43" t="str">
        <x:v>Other investments target</x:v>
      </x:c>
      <x:c r="X36" s="43" t="str">
        <x:v>Debt payoff target</x:v>
      </x:c>
      <x:c r="Y36" s="43" t="str">
        <x:v>Household reserve target</x:v>
      </x:c>
      <x:c r="Z36" s="43" t="str">
        <x:v>Travel/Gifts fund target</x:v>
      </x:c>
      <x:c r="AA36" s="43" t="str">
        <x:v>Net cash flow</x:v>
      </x:c>
    </x:row>
    <x:row r="37">
      <x:c r="A37" s="92"/>
      <x:c r="B37" s="94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  <x:c r="T37" s="86" t="n">
        <x:f>SUM(C37:S37)</x:f>
        <x:v>0</x:v>
      </x:c>
      <x:c r="U37" s="86"/>
      <x:c r="V37" s="86"/>
      <x:c r="W37" s="86"/>
      <x:c r="X37" s="86"/>
      <x:c r="Y37" s="86"/>
      <x:c r="Z37" s="86"/>
      <x:c r="AA37" s="86" t="n">
        <x:f>B37-T37</x:f>
        <x:v>0</x:v>
      </x:c>
    </x:row>
    <x:row r="38">
      <x:c r="A38" s="92"/>
      <x:c r="B38" s="94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  <x:c r="T38" s="86" t="n">
        <x:f>SUM(C38:S38)</x:f>
        <x:v>0</x:v>
      </x:c>
      <x:c r="U38" s="86"/>
      <x:c r="V38" s="86"/>
      <x:c r="W38" s="86"/>
      <x:c r="X38" s="86"/>
      <x:c r="Y38" s="86"/>
      <x:c r="Z38" s="86"/>
      <x:c r="AA38" s="86" t="n">
        <x:f>B38-T38</x:f>
        <x:v>0</x:v>
      </x:c>
    </x:row>
    <x:row r="39">
      <x:c r="A39" s="92"/>
      <x:c r="B39" s="94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  <x:c r="T39" s="86" t="n">
        <x:f>SUM(C39:S39)</x:f>
        <x:v>0</x:v>
      </x:c>
      <x:c r="U39" s="86"/>
      <x:c r="V39" s="86"/>
      <x:c r="W39" s="86"/>
      <x:c r="X39" s="86"/>
      <x:c r="Y39" s="86"/>
      <x:c r="Z39" s="86"/>
      <x:c r="AA39" s="86" t="n">
        <x:f>B39-T39</x:f>
        <x:v>0</x:v>
      </x:c>
    </x:row>
    <x:row r="40">
      <x:c r="A40" s="92"/>
      <x:c r="B40" s="94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  <x:c r="T40" s="86" t="n">
        <x:f>SUM(C40:S40)</x:f>
        <x:v>0</x:v>
      </x:c>
      <x:c r="U40" s="86"/>
      <x:c r="V40" s="86"/>
      <x:c r="W40" s="86"/>
      <x:c r="X40" s="86"/>
      <x:c r="Y40" s="86"/>
      <x:c r="Z40" s="86"/>
      <x:c r="AA40" s="86" t="n">
        <x:f>B40-T40</x:f>
        <x:v>0</x:v>
      </x:c>
    </x:row>
    <x:row r="41">
      <x:c r="A41" s="92"/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  <x:c r="T41" s="86" t="n">
        <x:f>SUM(C41:S41)</x:f>
        <x:v>0</x:v>
      </x:c>
      <x:c r="U41" s="86"/>
      <x:c r="V41" s="86"/>
      <x:c r="W41" s="86"/>
      <x:c r="X41" s="86"/>
      <x:c r="Y41" s="86"/>
      <x:c r="Z41" s="86"/>
      <x:c r="AA41" s="86" t="n">
        <x:f>B41-T41</x:f>
        <x:v>0</x:v>
      </x:c>
    </x:row>
    <x:row r="42">
      <x:c r="A42" s="82" t="str">
        <x:v>Weekly total</x:v>
      </x:c>
      <x:c r="B42" s="83" t="n">
        <x:f>SUM(B37:B41)</x:f>
        <x:v>0</x:v>
      </x:c>
      <x:c r="C42" s="83" t="n">
        <x:f>SUM(C37:C41)</x:f>
        <x:v>0</x:v>
      </x:c>
      <x:c r="D42" s="83" t="n">
        <x:f>SUM(D37:D41)</x:f>
        <x:v>0</x:v>
      </x:c>
      <x:c r="E42" s="83" t="n">
        <x:f>SUM(E37:E41)</x:f>
        <x:v>0</x:v>
      </x:c>
      <x:c r="F42" s="83" t="n">
        <x:f>SUM(F37:F41)</x:f>
        <x:v>0</x:v>
      </x:c>
      <x:c r="G42" s="83" t="n">
        <x:f>SUM(G37:G41)</x:f>
        <x:v>0</x:v>
      </x:c>
      <x:c r="H42" s="83" t="n">
        <x:f>SUM(H37:H41)</x:f>
        <x:v>0</x:v>
      </x:c>
      <x:c r="I42" s="83" t="n">
        <x:f>SUM(I37:I41)</x:f>
        <x:v>0</x:v>
      </x:c>
      <x:c r="J42" s="83" t="n">
        <x:f>SUM(J37:J41)</x:f>
        <x:v>0</x:v>
      </x:c>
      <x:c r="K42" s="83" t="n">
        <x:f>SUM(K37:K41)</x:f>
        <x:v>0</x:v>
      </x:c>
      <x:c r="L42" s="83" t="n">
        <x:f>SUM(L37:L41)</x:f>
        <x:v>0</x:v>
      </x:c>
      <x:c r="M42" s="83" t="n">
        <x:f>SUM(M37:M41)</x:f>
        <x:v>0</x:v>
      </x:c>
      <x:c r="N42" s="83" t="n">
        <x:f>SUM(N37:N41)</x:f>
        <x:v>0</x:v>
      </x:c>
      <x:c r="O42" s="83" t="n">
        <x:f>SUM(O37:O41)</x:f>
        <x:v>0</x:v>
      </x:c>
      <x:c r="P42" s="83" t="n">
        <x:f>SUM(P37:P41)</x:f>
        <x:v>0</x:v>
      </x:c>
      <x:c r="Q42" s="83" t="n">
        <x:f>SUM(Q37:Q41)</x:f>
        <x:v>0</x:v>
      </x:c>
      <x:c r="R42" s="83" t="n">
        <x:f>SUM(R37:R41)</x:f>
        <x:v>0</x:v>
      </x:c>
      <x:c r="S42" s="83" t="n">
        <x:f>SUM(S37:S41)</x:f>
        <x:v>0</x:v>
      </x:c>
      <x:c r="T42" s="83" t="n">
        <x:f>SUM(T37:T41)</x:f>
        <x:v>0</x:v>
      </x:c>
      <x:c r="U42" s="83" t="n">
        <x:f>IF('Annual Overview'!$B$15="Independent weekly",MAX(B42-T42,0)*'Annual Overview'!$C$5,MAX(SUM(B20,B31,B42)-SUM(T20,T31,T42),0)*'Annual Overview'!$C$5-SUM(U20,U31))</x:f>
        <x:v>0</x:v>
      </x:c>
      <x:c r="V42" s="83" t="n">
        <x:f>IF('Annual Overview'!$B$15="Independent weekly",MAX(B42-T42,0)*'Annual Overview'!$C$6,MAX(SUM(B20,B31,B42)-SUM(T20,T31,T42),0)*'Annual Overview'!$C$6-SUM(V20,V31))</x:f>
        <x:v>0</x:v>
      </x:c>
      <x:c r="W42" s="83" t="n">
        <x:f>IF('Annual Overview'!$B$15="Independent weekly",MAX(B42-T42,0)*'Annual Overview'!$C$7,MAX(SUM(B20,B31,B42)-SUM(T20,T31,T42),0)*'Annual Overview'!$C$7-SUM(W20,W31))</x:f>
        <x:v>0</x:v>
      </x:c>
      <x:c r="X42" s="83" t="n">
        <x:f>IF('Annual Overview'!$B$15="Independent weekly",MAX(B42-T42,0)*'Annual Overview'!$C$8,MAX(SUM(B20,B31,B42)-SUM(T20,T31,T42),0)*'Annual Overview'!$C$8-SUM(X20,X31))</x:f>
        <x:v>0</x:v>
      </x:c>
      <x:c r="Y42" s="83" t="n">
        <x:f>IF('Annual Overview'!$B$15="Independent weekly",MAX(B42-T42,0)*'Annual Overview'!$C$9,MAX(SUM(B20,B31,B42)-SUM(T20,T31,T42),0)*'Annual Overview'!$C$9-SUM(Y20,Y31))</x:f>
        <x:v>0</x:v>
      </x:c>
      <x:c r="Z42" s="83" t="n">
        <x:f>IF('Annual Overview'!$B$15="Independent weekly",MAX(B42-T42,0)*'Annual Overview'!$C$10,MAX(SUM(B20,B31,B42)-SUM(T20,T31,T42),0)*'Annual Overview'!$C$10-SUM(Z20,Z31))</x:f>
        <x:v>0</x:v>
      </x:c>
      <x:c r="AA42" s="83" t="n">
        <x:f>B42-T42-SUM(U42:Z42)</x:f>
        <x:v>0</x:v>
      </x:c>
    </x:row>
    <x:row r="46">
      <x:c r="A46" s="35" t="str">
        <x:v>Week 4</x:v>
      </x:c>
      <x:c r="B46" s="35" t="str">
        <x:v>Week 4</x:v>
      </x:c>
      <x:c r="C46" s="35" t="str">
        <x:v>Week 4</x:v>
      </x:c>
      <x:c r="D46" s="35" t="str">
        <x:v>Week 4</x:v>
      </x:c>
      <x:c r="E46" s="35" t="str">
        <x:v>Week 4</x:v>
      </x:c>
      <x:c r="F46" s="35" t="str">
        <x:v>Week 4</x:v>
      </x:c>
      <x:c r="G46" s="35" t="str">
        <x:v>Week 4</x:v>
      </x:c>
      <x:c r="H46" s="35" t="str">
        <x:v>Week 4</x:v>
      </x:c>
      <x:c r="I46" s="35" t="str">
        <x:v>Week 4</x:v>
      </x:c>
      <x:c r="J46" s="35" t="str">
        <x:v>Week 4</x:v>
      </x:c>
      <x:c r="K46" s="35" t="str">
        <x:v>Week 4</x:v>
      </x:c>
      <x:c r="L46" s="35" t="str">
        <x:v>Week 4</x:v>
      </x:c>
      <x:c r="M46" s="35" t="str">
        <x:v>Week 4</x:v>
      </x:c>
      <x:c r="N46" s="35" t="str">
        <x:v>Week 4</x:v>
      </x:c>
      <x:c r="O46" s="35" t="str">
        <x:v>Week 4</x:v>
      </x:c>
      <x:c r="P46" s="35" t="str">
        <x:v>Week 4</x:v>
      </x:c>
      <x:c r="Q46" s="35" t="str">
        <x:v>Week 4</x:v>
      </x:c>
      <x:c r="R46" s="35" t="str">
        <x:v>Week 4</x:v>
      </x:c>
      <x:c r="S46" s="35" t="str">
        <x:v>Week 4</x:v>
      </x:c>
      <x:c r="T46" s="35" t="str">
        <x:v>Week 4</x:v>
      </x:c>
      <x:c r="U46" s="35" t="str">
        <x:v>Week 4</x:v>
      </x:c>
      <x:c r="V46" s="35" t="str">
        <x:v>Week 4</x:v>
      </x:c>
      <x:c r="W46" s="35" t="str">
        <x:v>Week 4</x:v>
      </x:c>
      <x:c r="X46" s="35" t="str">
        <x:v>Week 4</x:v>
      </x:c>
      <x:c r="Y46" s="35" t="str">
        <x:v>Week 4</x:v>
      </x:c>
      <x:c r="Z46" s="35" t="str">
        <x:v>Week 4</x:v>
      </x:c>
      <x:c r="AA46" s="35" t="str">
        <x:v>Week 4</x:v>
      </x:c>
    </x:row>
    <x:row r="47">
      <x:c r="A47" s="43" t="str">
        <x:v>Date / note</x:v>
      </x:c>
      <x:c r="B47" s="43" t="str">
        <x:v>Income</x:v>
      </x:c>
      <x:c r="C47" s="43" t="str">
        <x:v>CIBC</x:v>
      </x:c>
      <x:c r="D47" s="43" t="str">
        <x:v>RBC</x:v>
      </x:c>
      <x:c r="E47" s="43" t="str">
        <x:v>AMEX</x:v>
      </x:c>
      <x:c r="F47" s="43" t="str">
        <x:v>Wealthsimple</x:v>
      </x:c>
      <x:c r="G47" s="43" t="str">
        <x:v>Triangle</x:v>
      </x:c>
      <x:c r="H47" s="43" t="str">
        <x:v>Other Credit Cards</x:v>
      </x:c>
      <x:c r="I47" s="43" t="str">
        <x:v>Food</x:v>
      </x:c>
      <x:c r="J47" s="43" t="str">
        <x:v>Cars</x:v>
      </x:c>
      <x:c r="K47" s="43" t="str">
        <x:v>House</x:v>
      </x:c>
      <x:c r="L47" s="43" t="str">
        <x:v>Travel</x:v>
      </x:c>
      <x:c r="M47" s="43" t="str">
        <x:v>Gift/Education</x:v>
      </x:c>
      <x:c r="N47" s="43" t="str">
        <x:f>'Annual Overview'!$A$45</x:f>
        <x:v>Custom 1</x:v>
      </x:c>
      <x:c r="O47" s="43" t="str">
        <x:f>'Annual Overview'!$A$46</x:f>
        <x:v>Custom 2</x:v>
      </x:c>
      <x:c r="P47" s="43" t="str">
        <x:f>'Annual Overview'!$A$47</x:f>
        <x:v>Custom 3</x:v>
      </x:c>
      <x:c r="Q47" s="43" t="str">
        <x:v>Business</x:v>
      </x:c>
      <x:c r="R47" s="43" t="str">
        <x:v>Monthly Subscription / Utilities</x:v>
      </x:c>
      <x:c r="S47" s="43" t="str">
        <x:v>Others</x:v>
      </x:c>
      <x:c r="T47" s="43" t="str">
        <x:v>Total expenses</x:v>
      </x:c>
      <x:c r="U47" s="43" t="str">
        <x:v>TFSA / House target</x:v>
      </x:c>
      <x:c r="V47" s="43" t="str">
        <x:v>Emergency fund target</x:v>
      </x:c>
      <x:c r="W47" s="43" t="str">
        <x:v>Other investments target</x:v>
      </x:c>
      <x:c r="X47" s="43" t="str">
        <x:v>Debt payoff target</x:v>
      </x:c>
      <x:c r="Y47" s="43" t="str">
        <x:v>Household reserve target</x:v>
      </x:c>
      <x:c r="Z47" s="43" t="str">
        <x:v>Travel/Gifts fund target</x:v>
      </x:c>
      <x:c r="AA47" s="43" t="str">
        <x:v>Net cash flow</x:v>
      </x:c>
    </x:row>
    <x:row r="48">
      <x:c r="A48" s="92"/>
      <x:c r="B48" s="94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  <x:c r="N48" s="94"/>
      <x:c r="O48" s="94"/>
      <x:c r="P48" s="94"/>
      <x:c r="Q48" s="94"/>
      <x:c r="R48" s="94"/>
      <x:c r="S48" s="94"/>
      <x:c r="T48" s="86" t="n">
        <x:f>SUM(C48:S48)</x:f>
        <x:v>0</x:v>
      </x:c>
      <x:c r="U48" s="86"/>
      <x:c r="V48" s="86"/>
      <x:c r="W48" s="86"/>
      <x:c r="X48" s="86"/>
      <x:c r="Y48" s="86"/>
      <x:c r="Z48" s="86"/>
      <x:c r="AA48" s="86" t="n">
        <x:f>B48-T48</x:f>
        <x:v>0</x:v>
      </x:c>
    </x:row>
    <x:row r="49">
      <x:c r="A49" s="92"/>
      <x:c r="B49" s="94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  <x:c r="N49" s="94"/>
      <x:c r="O49" s="94"/>
      <x:c r="P49" s="94"/>
      <x:c r="Q49" s="94"/>
      <x:c r="R49" s="94"/>
      <x:c r="S49" s="94"/>
      <x:c r="T49" s="86" t="n">
        <x:f>SUM(C49:S49)</x:f>
        <x:v>0</x:v>
      </x:c>
      <x:c r="U49" s="86"/>
      <x:c r="V49" s="86"/>
      <x:c r="W49" s="86"/>
      <x:c r="X49" s="86"/>
      <x:c r="Y49" s="86"/>
      <x:c r="Z49" s="86"/>
      <x:c r="AA49" s="86" t="n">
        <x:f>B49-T49</x:f>
        <x:v>0</x:v>
      </x:c>
    </x:row>
    <x:row r="50">
      <x:c r="A50" s="92"/>
      <x:c r="B50" s="94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  <x:c r="Q50" s="94"/>
      <x:c r="R50" s="94"/>
      <x:c r="S50" s="94"/>
      <x:c r="T50" s="86" t="n">
        <x:f>SUM(C50:S50)</x:f>
        <x:v>0</x:v>
      </x:c>
      <x:c r="U50" s="86"/>
      <x:c r="V50" s="86"/>
      <x:c r="W50" s="86"/>
      <x:c r="X50" s="86"/>
      <x:c r="Y50" s="86"/>
      <x:c r="Z50" s="86"/>
      <x:c r="AA50" s="86" t="n">
        <x:f>B50-T50</x:f>
        <x:v>0</x:v>
      </x:c>
    </x:row>
    <x:row r="51">
      <x:c r="A51" s="92"/>
      <x:c r="B51" s="94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  <x:c r="N51" s="94"/>
      <x:c r="O51" s="94"/>
      <x:c r="P51" s="94"/>
      <x:c r="Q51" s="94"/>
      <x:c r="R51" s="94"/>
      <x:c r="S51" s="94"/>
      <x:c r="T51" s="86" t="n">
        <x:f>SUM(C51:S51)</x:f>
        <x:v>0</x:v>
      </x:c>
      <x:c r="U51" s="86"/>
      <x:c r="V51" s="86"/>
      <x:c r="W51" s="86"/>
      <x:c r="X51" s="86"/>
      <x:c r="Y51" s="86"/>
      <x:c r="Z51" s="86"/>
      <x:c r="AA51" s="86" t="n">
        <x:f>B51-T51</x:f>
        <x:v>0</x:v>
      </x:c>
    </x:row>
    <x:row r="52">
      <x:c r="A52" s="92"/>
      <x:c r="B52" s="94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  <x:c r="Q52" s="94"/>
      <x:c r="R52" s="94"/>
      <x:c r="S52" s="94"/>
      <x:c r="T52" s="86" t="n">
        <x:f>SUM(C52:S52)</x:f>
        <x:v>0</x:v>
      </x:c>
      <x:c r="U52" s="86"/>
      <x:c r="V52" s="86"/>
      <x:c r="W52" s="86"/>
      <x:c r="X52" s="86"/>
      <x:c r="Y52" s="86"/>
      <x:c r="Z52" s="86"/>
      <x:c r="AA52" s="86" t="n">
        <x:f>B52-T52</x:f>
        <x:v>0</x:v>
      </x:c>
    </x:row>
    <x:row r="53">
      <x:c r="A53" s="82" t="str">
        <x:v>Weekly total</x:v>
      </x:c>
      <x:c r="B53" s="83" t="n">
        <x:f>SUM(B48:B52)</x:f>
        <x:v>0</x:v>
      </x:c>
      <x:c r="C53" s="83" t="n">
        <x:f>SUM(C48:C52)</x:f>
        <x:v>0</x:v>
      </x:c>
      <x:c r="D53" s="83" t="n">
        <x:f>SUM(D48:D52)</x:f>
        <x:v>0</x:v>
      </x:c>
      <x:c r="E53" s="83" t="n">
        <x:f>SUM(E48:E52)</x:f>
        <x:v>0</x:v>
      </x:c>
      <x:c r="F53" s="83" t="n">
        <x:f>SUM(F48:F52)</x:f>
        <x:v>0</x:v>
      </x:c>
      <x:c r="G53" s="83" t="n">
        <x:f>SUM(G48:G52)</x:f>
        <x:v>0</x:v>
      </x:c>
      <x:c r="H53" s="83" t="n">
        <x:f>SUM(H48:H52)</x:f>
        <x:v>0</x:v>
      </x:c>
      <x:c r="I53" s="83" t="n">
        <x:f>SUM(I48:I52)</x:f>
        <x:v>0</x:v>
      </x:c>
      <x:c r="J53" s="83" t="n">
        <x:f>SUM(J48:J52)</x:f>
        <x:v>0</x:v>
      </x:c>
      <x:c r="K53" s="83" t="n">
        <x:f>SUM(K48:K52)</x:f>
        <x:v>0</x:v>
      </x:c>
      <x:c r="L53" s="83" t="n">
        <x:f>SUM(L48:L52)</x:f>
        <x:v>0</x:v>
      </x:c>
      <x:c r="M53" s="83" t="n">
        <x:f>SUM(M48:M52)</x:f>
        <x:v>0</x:v>
      </x:c>
      <x:c r="N53" s="83" t="n">
        <x:f>SUM(N48:N52)</x:f>
        <x:v>0</x:v>
      </x:c>
      <x:c r="O53" s="83" t="n">
        <x:f>SUM(O48:O52)</x:f>
        <x:v>0</x:v>
      </x:c>
      <x:c r="P53" s="83" t="n">
        <x:f>SUM(P48:P52)</x:f>
        <x:v>0</x:v>
      </x:c>
      <x:c r="Q53" s="83" t="n">
        <x:f>SUM(Q48:Q52)</x:f>
        <x:v>0</x:v>
      </x:c>
      <x:c r="R53" s="83" t="n">
        <x:f>SUM(R48:R52)</x:f>
        <x:v>0</x:v>
      </x:c>
      <x:c r="S53" s="83" t="n">
        <x:f>SUM(S48:S52)</x:f>
        <x:v>0</x:v>
      </x:c>
      <x:c r="T53" s="83" t="n">
        <x:f>SUM(T48:T52)</x:f>
        <x:v>0</x:v>
      </x:c>
      <x:c r="U53" s="83" t="n">
        <x:f>IF('Annual Overview'!$B$15="Independent weekly",MAX(B53-T53,0)*'Annual Overview'!$C$5,MAX(SUM(B20,B31,B42,B53)-SUM(T20,T31,T42,T53),0)*'Annual Overview'!$C$5-SUM(U20,U31,U42))</x:f>
        <x:v>0</x:v>
      </x:c>
      <x:c r="V53" s="83" t="n">
        <x:f>IF('Annual Overview'!$B$15="Independent weekly",MAX(B53-T53,0)*'Annual Overview'!$C$6,MAX(SUM(B20,B31,B42,B53)-SUM(T20,T31,T42,T53),0)*'Annual Overview'!$C$6-SUM(V20,V31,V42))</x:f>
        <x:v>0</x:v>
      </x:c>
      <x:c r="W53" s="83" t="n">
        <x:f>IF('Annual Overview'!$B$15="Independent weekly",MAX(B53-T53,0)*'Annual Overview'!$C$7,MAX(SUM(B20,B31,B42,B53)-SUM(T20,T31,T42,T53),0)*'Annual Overview'!$C$7-SUM(W20,W31,W42))</x:f>
        <x:v>0</x:v>
      </x:c>
      <x:c r="X53" s="83" t="n">
        <x:f>IF('Annual Overview'!$B$15="Independent weekly",MAX(B53-T53,0)*'Annual Overview'!$C$8,MAX(SUM(B20,B31,B42,B53)-SUM(T20,T31,T42,T53),0)*'Annual Overview'!$C$8-SUM(X20,X31,X42))</x:f>
        <x:v>0</x:v>
      </x:c>
      <x:c r="Y53" s="83" t="n">
        <x:f>IF('Annual Overview'!$B$15="Independent weekly",MAX(B53-T53,0)*'Annual Overview'!$C$9,MAX(SUM(B20,B31,B42,B53)-SUM(T20,T31,T42,T53),0)*'Annual Overview'!$C$9-SUM(Y20,Y31,Y42))</x:f>
        <x:v>0</x:v>
      </x:c>
      <x:c r="Z53" s="83" t="n">
        <x:f>IF('Annual Overview'!$B$15="Independent weekly",MAX(B53-T53,0)*'Annual Overview'!$C$10,MAX(SUM(B20,B31,B42,B53)-SUM(T20,T31,T42,T53),0)*'Annual Overview'!$C$10-SUM(Z20,Z31,Z42))</x:f>
        <x:v>0</x:v>
      </x:c>
      <x:c r="AA53" s="83" t="n">
        <x:f>B53-T53-SUM(U53:Z53)</x:f>
        <x:v>0</x:v>
      </x:c>
    </x:row>
    <x:row r="57">
      <x:c r="A57" s="35" t="str">
        <x:v>Monthly Totals</x:v>
      </x:c>
      <x:c r="B57" s="35" t="str">
        <x:v>Monthly Totals</x:v>
      </x:c>
      <x:c r="D57" s="25" t="str">
        <x:v>Category Totals</x:v>
      </x:c>
      <x:c r="E57" s="25" t="str">
        <x:v>Category Totals</x:v>
      </x:c>
    </x:row>
    <x:row r="59">
      <x:c r="A59" s="55" t="str">
        <x:v>Total income</x:v>
      </x:c>
      <x:c r="B59" s="69" t="n">
        <x:f>SUM(B20,B31,B42,B53)</x:f>
        <x:v>0</x:v>
      </x:c>
      <x:c r="D59" s="43" t="str">
        <x:v>Category</x:v>
      </x:c>
      <x:c r="E59" s="43" t="str">
        <x:v>Monthly total</x:v>
      </x:c>
    </x:row>
    <x:row r="60">
      <x:c r="A60" s="55" t="str">
        <x:v>Total expenses</x:v>
      </x:c>
      <x:c r="B60" s="69" t="n">
        <x:f>SUM(T20,T31,T42,T53)</x:f>
        <x:v>0</x:v>
      </x:c>
      <x:c r="D60" s="71" t="str">
        <x:v>CIBC</x:v>
      </x:c>
      <x:c r="E60" s="86" t="n">
        <x:f>SUM(C20,C31,C42,C53)</x:f>
        <x:v>0</x:v>
      </x:c>
    </x:row>
    <x:row r="61">
      <x:c r="A61" s="55" t="str">
        <x:v>Net before allocations</x:v>
      </x:c>
      <x:c r="B61" s="69" t="n">
        <x:f>B59-B60</x:f>
        <x:v>0</x:v>
      </x:c>
      <x:c r="D61" s="71" t="str">
        <x:v>RBC</x:v>
      </x:c>
      <x:c r="E61" s="86" t="n">
        <x:f>SUM(D20,D31,D42,D53)</x:f>
        <x:v>0</x:v>
      </x:c>
    </x:row>
    <x:row r="62">
      <x:c r="A62" s="55" t="str">
        <x:v>TFSA / House allocation</x:v>
      </x:c>
      <x:c r="B62" s="69" t="n">
        <x:f>SUM(U20,U31,U42,U53)</x:f>
        <x:v>0</x:v>
      </x:c>
      <x:c r="D62" s="71" t="str">
        <x:v>AMEX</x:v>
      </x:c>
      <x:c r="E62" s="86" t="n">
        <x:f>SUM(E20,E31,E42,E53)</x:f>
        <x:v>0</x:v>
      </x:c>
    </x:row>
    <x:row r="63">
      <x:c r="A63" s="55" t="str">
        <x:v>Emergency fund allocation</x:v>
      </x:c>
      <x:c r="B63" s="69" t="n">
        <x:f>SUM(V20,V31,V42,V53)</x:f>
        <x:v>0</x:v>
      </x:c>
      <x:c r="D63" s="71" t="str">
        <x:v>Wealthsimple</x:v>
      </x:c>
      <x:c r="E63" s="86" t="n">
        <x:f>SUM(F20,F31,F42,F53)</x:f>
        <x:v>0</x:v>
      </x:c>
    </x:row>
    <x:row r="64">
      <x:c r="A64" s="55" t="str">
        <x:v>Other investments allocation</x:v>
      </x:c>
      <x:c r="B64" s="69" t="n">
        <x:f>SUM(W20,W31,W42,W53)</x:f>
        <x:v>0</x:v>
      </x:c>
      <x:c r="D64" s="71" t="str">
        <x:v>Triangle</x:v>
      </x:c>
      <x:c r="E64" s="86" t="n">
        <x:f>SUM(G20,G31,G42,G53)</x:f>
        <x:v>0</x:v>
      </x:c>
    </x:row>
    <x:row r="65">
      <x:c r="A65" s="55" t="str">
        <x:v>Debt payoff allocation</x:v>
      </x:c>
      <x:c r="B65" s="69" t="n">
        <x:f>SUM(X20,X31,X42,X53)</x:f>
        <x:v>0</x:v>
      </x:c>
      <x:c r="D65" s="71" t="str">
        <x:v>Other Credit Cards</x:v>
      </x:c>
      <x:c r="E65" s="86" t="n">
        <x:f>SUM(H20,H31,H42,H53)</x:f>
        <x:v>0</x:v>
      </x:c>
    </x:row>
    <x:row r="66">
      <x:c r="A66" s="55" t="str">
        <x:v>Household reserve allocation</x:v>
      </x:c>
      <x:c r="B66" s="69" t="n">
        <x:f>SUM(Y20,Y31,Y42,Y53)</x:f>
        <x:v>0</x:v>
      </x:c>
      <x:c r="D66" s="71" t="str">
        <x:v>Food</x:v>
      </x:c>
      <x:c r="E66" s="86" t="n">
        <x:f>SUM(I20,I31,I42,I53)</x:f>
        <x:v>0</x:v>
      </x:c>
    </x:row>
    <x:row r="67">
      <x:c r="A67" s="55" t="str">
        <x:v>Travel/Gifts fund allocation</x:v>
      </x:c>
      <x:c r="B67" s="69" t="n">
        <x:f>SUM(Z20,Z31,Z42,Z53)</x:f>
        <x:v>0</x:v>
      </x:c>
      <x:c r="D67" s="71" t="str">
        <x:v>Cars</x:v>
      </x:c>
      <x:c r="E67" s="86" t="n">
        <x:f>SUM(J20,J31,J42,J53)</x:f>
        <x:v>0</x:v>
      </x:c>
    </x:row>
    <x:row r="68">
      <x:c r="A68" s="55" t="str">
        <x:v>Total allocations</x:v>
      </x:c>
      <x:c r="B68" s="69" t="n">
        <x:f>SUM(B62:B67)</x:f>
        <x:v>0</x:v>
      </x:c>
      <x:c r="D68" s="71" t="str">
        <x:v>House</x:v>
      </x:c>
      <x:c r="E68" s="86" t="n">
        <x:f>SUM(K20,K31,K42,K53)</x:f>
        <x:v>0</x:v>
      </x:c>
    </x:row>
    <x:row r="69">
      <x:c r="A69" s="55" t="str">
        <x:v>Net cash flow after allocations</x:v>
      </x:c>
      <x:c r="B69" s="69" t="n">
        <x:f>B59-B60-B68</x:f>
        <x:v>0</x:v>
      </x:c>
      <x:c r="D69" s="71" t="str">
        <x:v>Travel</x:v>
      </x:c>
      <x:c r="E69" s="86" t="n">
        <x:f>SUM(L20,L31,L42,L53)</x:f>
        <x:v>0</x:v>
      </x:c>
    </x:row>
    <x:row r="70">
      <x:c r="A70" s="55" t="str">
        <x:v>Allocation % used</x:v>
      </x:c>
      <x:c r="B70" s="67" t="n">
        <x:f>'Annual Overview'!$C$11</x:f>
        <x:v>0.9999999999999999</x:v>
      </x:c>
      <x:c r="D70" s="71" t="str">
        <x:v>Gift/Education</x:v>
      </x:c>
      <x:c r="E70" s="86" t="n">
        <x:f>SUM(M20,M31,M42,M53)</x:f>
        <x:v>0</x:v>
      </x:c>
    </x:row>
    <x:row r="71">
      <x:c r="A71" s="55" t="str">
        <x:v>Check</x:v>
      </x:c>
      <x:c r="B71" s="98" t="str">
        <x:f>IF(ROUND(B69-(B59-B60-B68),2)=0,"OK","Review")</x:f>
        <x:v>OK</x:v>
      </x:c>
      <x:c r="D71" s="71" t="str">
        <x:f>'Annual Overview'!$A$45</x:f>
        <x:v>Custom 1</x:v>
      </x:c>
      <x:c r="E71" s="86" t="n">
        <x:f>SUM(N20,N31,N42,N53)</x:f>
        <x:v>0</x:v>
      </x:c>
    </x:row>
    <x:row r="72">
      <x:c r="D72" s="71" t="str">
        <x:f>'Annual Overview'!$A$46</x:f>
        <x:v>Custom 2</x:v>
      </x:c>
      <x:c r="E72" s="86" t="n">
        <x:f>SUM(O20,O31,O42,O53)</x:f>
        <x:v>0</x:v>
      </x:c>
    </x:row>
    <x:row r="73">
      <x:c r="D73" s="71" t="str">
        <x:f>'Annual Overview'!$A$47</x:f>
        <x:v>Custom 3</x:v>
      </x:c>
      <x:c r="E73" s="86" t="n">
        <x:f>SUM(P20,P31,P42,P53)</x:f>
        <x:v>0</x:v>
      </x:c>
    </x:row>
    <x:row r="74">
      <x:c r="D74" s="71" t="str">
        <x:v>Business</x:v>
      </x:c>
      <x:c r="E74" s="86" t="n">
        <x:f>SUM(Q20,Q31,Q42,Q53)</x:f>
        <x:v>0</x:v>
      </x:c>
    </x:row>
    <x:row r="75">
      <x:c r="D75" s="71" t="str">
        <x:v>Monthly Subscription / Utilities</x:v>
      </x:c>
      <x:c r="E75" s="86" t="n">
        <x:f>SUM(R20,R31,R42,R53)</x:f>
        <x:v>0</x:v>
      </x:c>
    </x:row>
    <x:row r="76">
      <x:c r="D76" s="71" t="str">
        <x:v>Others</x:v>
      </x:c>
      <x:c r="E76" s="86" t="n">
        <x:f>SUM(S20,S31,S42,S53)</x:f>
        <x:v>0</x:v>
      </x:c>
    </x:row>
    <x:row r="77">
      <x:c r="D77" s="82" t="str">
        <x:v>Credit cards total</x:v>
      </x:c>
      <x:c r="E77" s="83" t="n">
        <x:f>SUM(E60:E65)</x:f>
        <x:v>0</x:v>
      </x:c>
    </x:row>
    <x:row r="78">
      <x:c r="D78" s="82" t="str">
        <x:v>Household spending total</x:v>
      </x:c>
      <x:c r="E78" s="83" t="n">
        <x:f>SUM(E66:E76)</x:f>
        <x:v>0</x:v>
      </x:c>
    </x:row>
    <x:row r="79">
      <x:c r="D79" s="82" t="str">
        <x:v>Total tracked expenses</x:v>
      </x:c>
      <x:c r="E79" s="83" t="n">
        <x:f>SUM(E60:E76)</x:f>
        <x:v>0</x:v>
      </x:c>
    </x:row>
  </x:sheetData>
  <x:mergeCells>
    <x:mergeCell ref="A1:AA1"/>
    <x:mergeCell ref="A3:D3"/>
    <x:mergeCell ref="F3:J3"/>
    <x:mergeCell ref="L3:P3"/>
    <x:mergeCell ref="A13:AA13"/>
    <x:mergeCell ref="A24:AA24"/>
    <x:mergeCell ref="A35:AA35"/>
    <x:mergeCell ref="A46:AA46"/>
    <x:mergeCell ref="A57:B57"/>
    <x:mergeCell ref="D57:E57"/>
    <x:mergeCell ref="AC2:AF2"/>
    <x:mergeCell ref="AC27:AE27"/>
  </x:mergeCells>
  <x:pageMargins left="0.7" right="0.7" top="0.75" bottom="0.75" header="0.3" footer="0.3"/>
  <x:drawing xmlns:r="http://schemas.openxmlformats.org/officeDocument/2006/relationships" r:id="R6fe02d89d9434e02"/>
</x:worksheet>
</file>